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ur Co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<sst xmlns="http://schemas.openxmlformats.org/spreadsheetml/2006/main" count="257" uniqueCount="121">
  <si>
    <t xml:space="preserve">Rassera! Japan Summer 2027 : Cost per Traveler</t>
  </si>
  <si>
    <t xml:space="preserve">Blue = input you can change. Yellow = missing price, fill in column D (yen) or E (dollars). Dates follow the Rassera! itinerary moved to 2027.</t>
  </si>
  <si>
    <t xml:space="preserve">Exchange rate (yen per dollar)</t>
  </si>
  <si>
    <t xml:space="preserve">xe.com mid-market, Sep 25 2026</t>
  </si>
  <si>
    <t xml:space="preserve">Travelers</t>
  </si>
  <si>
    <t xml:space="preserve">Group size 8 to 12; change to test</t>
  </si>
  <si>
    <t xml:space="preserve">Price per person ($)</t>
  </si>
  <si>
    <t xml:space="preserve">From the Rassera! page</t>
  </si>
  <si>
    <t xml:space="preserve">People per room (double occupancy)</t>
  </si>
  <si>
    <t xml:space="preserve">Category</t>
  </si>
  <si>
    <t xml:space="preserve">Item</t>
  </si>
  <si>
    <t xml:space="preserve">Dates</t>
  </si>
  <si>
    <t xml:space="preserve">Unit cost (¥)</t>
  </si>
  <si>
    <t xml:space="preserve">Unit cost ($)</t>
  </si>
  <si>
    <t xml:space="preserve">Qty</t>
  </si>
  <si>
    <t xml:space="preserve">Basis</t>
  </si>
  <si>
    <t xml:space="preserve">Cost per traveler ($)</t>
  </si>
  <si>
    <t xml:space="preserve">Status</t>
  </si>
  <si>
    <t xml:space="preserve">Source / note</t>
  </si>
  <si>
    <t xml:space="preserve">Lodging</t>
  </si>
  <si>
    <t xml:space="preserve">Tokyo: Sequence Miyashita Park</t>
  </si>
  <si>
    <t xml:space="preserve">Jul 31 to Aug 2 (3 nights)</t>
  </si>
  <si>
    <t xml:space="preserve">per room</t>
  </si>
  <si>
    <t xml:space="preserve">Estimate</t>
  </si>
  <si>
    <t xml:space="preserve">Booking.com public rate for Jul 29 to Aug 2, 2027 ($1,155.44 for 4 nights). Aug 2 onward not open yet.</t>
  </si>
  <si>
    <t xml:space="preserve">Morioka: Hotel Metropolitan Morioka</t>
  </si>
  <si>
    <t xml:space="preserve">Aug 3 (1 night)</t>
  </si>
  <si>
    <t xml:space="preserve">Planning file range ¥12,000 to 18,000 per room; high end used. Aug 2027 not on sale yet.</t>
  </si>
  <si>
    <t xml:space="preserve">Aomori: Aomori Grand Hotel</t>
  </si>
  <si>
    <t xml:space="preserve">Aug 4 to 5 (2 nights)</t>
  </si>
  <si>
    <t xml:space="preserve">Planning file range ¥12,000 to 18,000 per room; high end used. Nebuta week not on sale yet; expect higher.</t>
  </si>
  <si>
    <t xml:space="preserve">Goshogawara: Hotel Route Inn Goshogawara</t>
  </si>
  <si>
    <t xml:space="preserve">Aug 6 (1 night)</t>
  </si>
  <si>
    <t xml:space="preserve">MISSING</t>
  </si>
  <si>
    <t xml:space="preserve">Not priced</t>
  </si>
  <si>
    <t xml:space="preserve">Aug 7 to 8 (2 nights)</t>
  </si>
  <si>
    <t xml:space="preserve">Same as Aug 4 to 5</t>
  </si>
  <si>
    <t xml:space="preserve">Sapporo: Hotel Sosei, Superior King</t>
  </si>
  <si>
    <t xml:space="preserve">Aug 9 to 11 (3 nights)</t>
  </si>
  <si>
    <t xml:space="preserve">Quote</t>
  </si>
  <si>
    <t xml:space="preserve">Fora portal Accor rate, Aug 9 to 12, 2027: $838 total</t>
  </si>
  <si>
    <t xml:space="preserve">Aug 12 (1 night)</t>
  </si>
  <si>
    <t xml:space="preserve">Same basis as opening nights</t>
  </si>
  <si>
    <t xml:space="preserve">Transport</t>
  </si>
  <si>
    <t xml:space="preserve">JR East-South Hokkaido Rail Pass (6 days)</t>
  </si>
  <si>
    <t xml:space="preserve">Aug 4 to 9</t>
  </si>
  <si>
    <t xml:space="preserve">per person</t>
  </si>
  <si>
    <t xml:space="preserve">JR East official price. Covers Morioka to Aomori, Gono Line, Hachinohe, Aomori to Sapporo.</t>
  </si>
  <si>
    <t xml:space="preserve">Shinkansen Tokyo to Morioka</t>
  </si>
  <si>
    <t xml:space="preserve">Aug 3</t>
  </si>
  <si>
    <t xml:space="preserve">Falls outside the 6 pass days</t>
  </si>
  <si>
    <t xml:space="preserve">Tsugaru Railway ride</t>
  </si>
  <si>
    <t xml:space="preserve">Aug 6</t>
  </si>
  <si>
    <t xml:space="preserve">Private line, not on the pass</t>
  </si>
  <si>
    <t xml:space="preserve">Train to Otaru or Lake Toya and back</t>
  </si>
  <si>
    <t xml:space="preserve">Aug 11</t>
  </si>
  <si>
    <t xml:space="preserve">After pass expires</t>
  </si>
  <si>
    <t xml:space="preserve">Flight New Chitose to Haneda</t>
  </si>
  <si>
    <t xml:space="preserve">Aug 12</t>
  </si>
  <si>
    <t xml:space="preserve">Planning file: ¥10,000 to 20,000 one way; high end used</t>
  </si>
  <si>
    <t xml:space="preserve">Luggage forwarding Tokyo to Sapporo (1 bag)</t>
  </si>
  <si>
    <t xml:space="preserve">Aug 2 or 3</t>
  </si>
  <si>
    <t xml:space="preserve">Planning file: ¥2,000 to 2,500 per bag</t>
  </si>
  <si>
    <t xml:space="preserve">Airport transfers (arrival and departure)</t>
  </si>
  <si>
    <t xml:space="preserve">Jul 31, Aug 13</t>
  </si>
  <si>
    <t xml:space="preserve">Local transit (Tokyo, Aomori buses, Hachinohe coast)</t>
  </si>
  <si>
    <t xml:space="preserve">Various</t>
  </si>
  <si>
    <t xml:space="preserve">Festivals</t>
  </si>
  <si>
    <t xml:space="preserve">Nebuta reserved seating</t>
  </si>
  <si>
    <t xml:space="preserve">Aug 4, 5, 7</t>
  </si>
  <si>
    <t xml:space="preserve">2026 price (¥2,600 and up) from the Nebuta festival file; 2027 not published</t>
  </si>
  <si>
    <t xml:space="preserve">Goshogawara Tachineputa reserved seat</t>
  </si>
  <si>
    <t xml:space="preserve">Planning file: ¥3,000 to 3,500; sold through Goshogawara Chamber of Commerce</t>
  </si>
  <si>
    <t xml:space="preserve">Haneto costume</t>
  </si>
  <si>
    <t xml:space="preserve">Aug 4</t>
  </si>
  <si>
    <t xml:space="preserve">Admissions</t>
  </si>
  <si>
    <t xml:space="preserve">TeamLab timed entry</t>
  </si>
  <si>
    <t xml:space="preserve">Aug 1</t>
  </si>
  <si>
    <t xml:space="preserve">Shibuya Sky</t>
  </si>
  <si>
    <t xml:space="preserve">Nebuta no Ie Wa Rasse</t>
  </si>
  <si>
    <t xml:space="preserve">Aug 5</t>
  </si>
  <si>
    <t xml:space="preserve">Aomori Museum of Art</t>
  </si>
  <si>
    <t xml:space="preserve">Sannai-Maruyama Jomon Site</t>
  </si>
  <si>
    <t xml:space="preserve">Hirosaki Castle and MOCA</t>
  </si>
  <si>
    <t xml:space="preserve">Tachineputa Museum</t>
  </si>
  <si>
    <t xml:space="preserve">Sapporo Beer Museum</t>
  </si>
  <si>
    <t xml:space="preserve">Aug 10</t>
  </si>
  <si>
    <t xml:space="preserve">Planning file: free entry</t>
  </si>
  <si>
    <t xml:space="preserve">Otaru Blue Cave cruise (Option 1)</t>
  </si>
  <si>
    <t xml:space="preserve">Partners</t>
  </si>
  <si>
    <t xml:space="preserve">Tokyo BunBun acting partner</t>
  </si>
  <si>
    <t xml:space="preserve">per group</t>
  </si>
  <si>
    <t xml:space="preserve">Your fee; split across travelers</t>
  </si>
  <si>
    <t xml:space="preserve">Bonsai Racing full day</t>
  </si>
  <si>
    <t xml:space="preserve">Aug 2</t>
  </si>
  <si>
    <t xml:space="preserve">Kimono dressing (optional)</t>
  </si>
  <si>
    <t xml:space="preserve">Optional; may be paid by traveler</t>
  </si>
  <si>
    <t xml:space="preserve">Group meals</t>
  </si>
  <si>
    <t xml:space="preserve">Udatsu Sushi welcome lunch</t>
  </si>
  <si>
    <t xml:space="preserve">Jul 31</t>
  </si>
  <si>
    <t xml:space="preserve">Azumaya wanko soba</t>
  </si>
  <si>
    <t xml:space="preserve">Sapporo beer garden, Genghis Khan BBQ</t>
  </si>
  <si>
    <t xml:space="preserve">Final group lunch</t>
  </si>
  <si>
    <t xml:space="preserve">Aug 13</t>
  </si>
  <si>
    <t xml:space="preserve">Other meals, if included in the price</t>
  </si>
  <si>
    <t xml:space="preserve">Decide what the price includes</t>
  </si>
  <si>
    <t xml:space="preserve">Leader</t>
  </si>
  <si>
    <t xml:space="preserve">Your own costs, split across travelers</t>
  </si>
  <si>
    <t xml:space="preserve">Whole trip</t>
  </si>
  <si>
    <t xml:space="preserve">leader</t>
  </si>
  <si>
    <t xml:space="preserve">Formula</t>
  </si>
  <si>
    <t xml:space="preserve">Single room at full rate plus your per-person costs, known items only</t>
  </si>
  <si>
    <t xml:space="preserve">Summary</t>
  </si>
  <si>
    <t xml:space="preserve">Known cost per traveler</t>
  </si>
  <si>
    <t xml:space="preserve">Price per person</t>
  </si>
  <si>
    <t xml:space="preserve">Left for missing items and margin</t>
  </si>
  <si>
    <t xml:space="preserve">Missing items (not priced)</t>
  </si>
  <si>
    <t xml:space="preserve">Single supplement (known lodging)</t>
  </si>
  <si>
    <t xml:space="preserve">Group revenue</t>
  </si>
  <si>
    <t xml:space="preserve">Group known cost</t>
  </si>
  <si>
    <t xml:space="preserve">Subtotals by category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</si>
</sst>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\$#,##0"/>
    <numFmt numFmtId="167" formatCode="\¥#,##0"/>
    <numFmt numFmtId="168" formatCode="\$#,##0.00"/>
    <numFmt numFmtId="169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5" min="4" style="0" width="13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157.03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n">
        <v>12</v>
      </c>
      <c r="C5" s="5" t="s">
        <v>5</v>
      </c>
    </row>
    <row r="6" customFormat="false" ht="15" hidden="false" customHeight="false" outlineLevel="0" collapsed="false">
      <c r="A6" s="3" t="s">
        <v>6</v>
      </c>
      <c r="B6" s="7" t="n">
        <v>5695</v>
      </c>
      <c r="C6" s="5" t="s">
        <v>7</v>
      </c>
    </row>
    <row r="7" customFormat="false" ht="15" hidden="false" customHeight="false" outlineLevel="0" collapsed="false">
      <c r="A7" s="3" t="s">
        <v>8</v>
      </c>
      <c r="B7" s="6" t="n">
        <v>2</v>
      </c>
      <c r="C7" s="5"/>
    </row>
    <row r="9" customFormat="false" ht="26.85" hidden="false" customHeight="false" outlineLevel="0" collapsed="false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</row>
    <row r="10" customFormat="false" ht="15" hidden="false" customHeight="false" outlineLevel="0" collapsed="false">
      <c r="A10" s="9" t="s">
        <v>19</v>
      </c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26.85" hidden="false" customHeight="false" outlineLevel="0" collapsed="false">
      <c r="A11" s="11" t="s">
        <v>19</v>
      </c>
      <c r="B11" s="11" t="s">
        <v>20</v>
      </c>
      <c r="C11" s="11" t="s">
        <v>21</v>
      </c>
      <c r="D11" s="12"/>
      <c r="E11" s="13" t="n">
        <v>288.86</v>
      </c>
      <c r="F11" s="14" t="n">
        <v>3</v>
      </c>
      <c r="G11" s="11" t="s">
        <v>22</v>
      </c>
      <c r="H11" s="15" t="n">
        <f aca="false">IF(E11="","",IF(G11="per room",E11*F11/$B$7,IF(G11="per group",E11*F11/$B$5,E11*F11)))</f>
        <v>433.29</v>
      </c>
      <c r="I11" s="11" t="s">
        <v>23</v>
      </c>
      <c r="J11" s="11" t="s">
        <v>24</v>
      </c>
    </row>
    <row r="12" customFormat="false" ht="26.85" hidden="false" customHeight="false" outlineLevel="0" collapsed="false">
      <c r="A12" s="11" t="s">
        <v>19</v>
      </c>
      <c r="B12" s="11" t="s">
        <v>25</v>
      </c>
      <c r="C12" s="11" t="s">
        <v>26</v>
      </c>
      <c r="D12" s="12" t="n">
        <v>18000</v>
      </c>
      <c r="E12" s="15" t="n">
        <f aca="false">IF(D12="","",D12/$B$4)</f>
        <v>114.627778131567</v>
      </c>
      <c r="F12" s="14" t="n">
        <v>1</v>
      </c>
      <c r="G12" s="11" t="s">
        <v>22</v>
      </c>
      <c r="H12" s="15" t="n">
        <f aca="false">IF(E12="","",IF(G12="per room",E12*F12/$B$7,IF(G12="per group",E12*F12/$B$5,E12*F12)))</f>
        <v>57.3138890657836</v>
      </c>
      <c r="I12" s="11" t="s">
        <v>23</v>
      </c>
      <c r="J12" s="11" t="s">
        <v>27</v>
      </c>
    </row>
    <row r="13" customFormat="false" ht="26.85" hidden="false" customHeight="false" outlineLevel="0" collapsed="false">
      <c r="A13" s="11" t="s">
        <v>19</v>
      </c>
      <c r="B13" s="11" t="s">
        <v>28</v>
      </c>
      <c r="C13" s="11" t="s">
        <v>29</v>
      </c>
      <c r="D13" s="12" t="n">
        <v>18000</v>
      </c>
      <c r="E13" s="15" t="n">
        <f aca="false">IF(D13="","",D13/$B$4)</f>
        <v>114.627778131567</v>
      </c>
      <c r="F13" s="14" t="n">
        <v>2</v>
      </c>
      <c r="G13" s="11" t="s">
        <v>22</v>
      </c>
      <c r="H13" s="15" t="n">
        <f aca="false">IF(E13="","",IF(G13="per room",E13*F13/$B$7,IF(G13="per group",E13*F13/$B$5,E13*F13)))</f>
        <v>114.627778131567</v>
      </c>
      <c r="I13" s="11" t="s">
        <v>23</v>
      </c>
      <c r="J13" s="11" t="s">
        <v>30</v>
      </c>
    </row>
    <row r="14" customFormat="false" ht="26.85" hidden="false" customHeight="false" outlineLevel="0" collapsed="false">
      <c r="A14" s="11" t="s">
        <v>19</v>
      </c>
      <c r="B14" s="11" t="s">
        <v>31</v>
      </c>
      <c r="C14" s="11" t="s">
        <v>32</v>
      </c>
      <c r="D14" s="16"/>
      <c r="E14" s="17" t="str">
        <f aca="false">IF(D14="","",D14/$B$4)</f>
        <v/>
      </c>
      <c r="F14" s="14" t="n">
        <v>1</v>
      </c>
      <c r="G14" s="11" t="s">
        <v>22</v>
      </c>
      <c r="H14" s="15" t="str">
        <f aca="false">IF(E14="","",IF(G14="per room",E14*F14/$B$7,IF(G14="per group",E14*F14/$B$5,E14*F14)))</f>
        <v/>
      </c>
      <c r="I14" s="18" t="s">
        <v>33</v>
      </c>
      <c r="J14" s="11" t="s">
        <v>34</v>
      </c>
    </row>
    <row r="15" customFormat="false" ht="15" hidden="false" customHeight="false" outlineLevel="0" collapsed="false">
      <c r="A15" s="11" t="s">
        <v>19</v>
      </c>
      <c r="B15" s="11" t="s">
        <v>28</v>
      </c>
      <c r="C15" s="11" t="s">
        <v>35</v>
      </c>
      <c r="D15" s="12" t="n">
        <v>18000</v>
      </c>
      <c r="E15" s="15" t="n">
        <f aca="false">IF(D15="","",D15/$B$4)</f>
        <v>114.627778131567</v>
      </c>
      <c r="F15" s="14" t="n">
        <v>2</v>
      </c>
      <c r="G15" s="11" t="s">
        <v>22</v>
      </c>
      <c r="H15" s="15" t="n">
        <f aca="false">IF(E15="","",IF(G15="per room",E15*F15/$B$7,IF(G15="per group",E15*F15/$B$5,E15*F15)))</f>
        <v>114.627778131567</v>
      </c>
      <c r="I15" s="11" t="s">
        <v>23</v>
      </c>
      <c r="J15" s="11" t="s">
        <v>36</v>
      </c>
    </row>
    <row r="16" customFormat="false" ht="15" hidden="false" customHeight="false" outlineLevel="0" collapsed="false">
      <c r="A16" s="11" t="s">
        <v>19</v>
      </c>
      <c r="B16" s="11" t="s">
        <v>37</v>
      </c>
      <c r="C16" s="11" t="s">
        <v>38</v>
      </c>
      <c r="D16" s="12"/>
      <c r="E16" s="13" t="n">
        <v>279.33</v>
      </c>
      <c r="F16" s="14" t="n">
        <v>3</v>
      </c>
      <c r="G16" s="11" t="s">
        <v>22</v>
      </c>
      <c r="H16" s="15" t="n">
        <f aca="false">IF(E16="","",IF(G16="per room",E16*F16/$B$7,IF(G16="per group",E16*F16/$B$5,E16*F16)))</f>
        <v>418.995</v>
      </c>
      <c r="I16" s="11" t="s">
        <v>39</v>
      </c>
      <c r="J16" s="11" t="s">
        <v>40</v>
      </c>
    </row>
    <row r="17" customFormat="false" ht="15" hidden="false" customHeight="false" outlineLevel="0" collapsed="false">
      <c r="A17" s="11" t="s">
        <v>19</v>
      </c>
      <c r="B17" s="11" t="s">
        <v>20</v>
      </c>
      <c r="C17" s="11" t="s">
        <v>41</v>
      </c>
      <c r="D17" s="12"/>
      <c r="E17" s="13" t="n">
        <v>288.86</v>
      </c>
      <c r="F17" s="14" t="n">
        <v>1</v>
      </c>
      <c r="G17" s="11" t="s">
        <v>22</v>
      </c>
      <c r="H17" s="15" t="n">
        <f aca="false">IF(E17="","",IF(G17="per room",E17*F17/$B$7,IF(G17="per group",E17*F17/$B$5,E17*F17)))</f>
        <v>144.43</v>
      </c>
      <c r="I17" s="11" t="s">
        <v>23</v>
      </c>
      <c r="J17" s="11" t="s">
        <v>42</v>
      </c>
    </row>
    <row r="18" customFormat="false" ht="15" hidden="false" customHeight="false" outlineLevel="0" collapsed="false">
      <c r="A18" s="9" t="s">
        <v>43</v>
      </c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26.85" hidden="false" customHeight="false" outlineLevel="0" collapsed="false">
      <c r="A19" s="11" t="s">
        <v>43</v>
      </c>
      <c r="B19" s="11" t="s">
        <v>44</v>
      </c>
      <c r="C19" s="11" t="s">
        <v>45</v>
      </c>
      <c r="D19" s="12" t="n">
        <v>40000</v>
      </c>
      <c r="E19" s="15" t="n">
        <f aca="false">IF(D19="","",D19/$B$4)</f>
        <v>254.728395847927</v>
      </c>
      <c r="F19" s="14" t="n">
        <v>1</v>
      </c>
      <c r="G19" s="11" t="s">
        <v>46</v>
      </c>
      <c r="H19" s="15" t="n">
        <f aca="false">IF(E19="","",IF(G19="per room",E19*F19/$B$7,IF(G19="per group",E19*F19/$B$5,E19*F19)))</f>
        <v>254.728395847927</v>
      </c>
      <c r="I19" s="11" t="s">
        <v>39</v>
      </c>
      <c r="J19" s="11" t="s">
        <v>47</v>
      </c>
    </row>
    <row r="20" customFormat="false" ht="15" hidden="false" customHeight="false" outlineLevel="0" collapsed="false">
      <c r="A20" s="11" t="s">
        <v>43</v>
      </c>
      <c r="B20" s="11" t="s">
        <v>48</v>
      </c>
      <c r="C20" s="11" t="s">
        <v>49</v>
      </c>
      <c r="D20" s="16"/>
      <c r="E20" s="17" t="str">
        <f aca="false">IF(D20="","",D20/$B$4)</f>
        <v/>
      </c>
      <c r="F20" s="14" t="n">
        <v>1</v>
      </c>
      <c r="G20" s="11" t="s">
        <v>46</v>
      </c>
      <c r="H20" s="15" t="str">
        <f aca="false">IF(E20="","",IF(G20="per room",E20*F20/$B$7,IF(G20="per group",E20*F20/$B$5,E20*F20)))</f>
        <v/>
      </c>
      <c r="I20" s="18" t="s">
        <v>33</v>
      </c>
      <c r="J20" s="11" t="s">
        <v>50</v>
      </c>
    </row>
    <row r="21" customFormat="false" ht="15" hidden="false" customHeight="false" outlineLevel="0" collapsed="false">
      <c r="A21" s="11" t="s">
        <v>43</v>
      </c>
      <c r="B21" s="11" t="s">
        <v>51</v>
      </c>
      <c r="C21" s="11" t="s">
        <v>52</v>
      </c>
      <c r="D21" s="16"/>
      <c r="E21" s="17" t="str">
        <f aca="false">IF(D21="","",D21/$B$4)</f>
        <v/>
      </c>
      <c r="F21" s="14" t="n">
        <v>1</v>
      </c>
      <c r="G21" s="11" t="s">
        <v>46</v>
      </c>
      <c r="H21" s="15" t="str">
        <f aca="false">IF(E21="","",IF(G21="per room",E21*F21/$B$7,IF(G21="per group",E21*F21/$B$5,E21*F21)))</f>
        <v/>
      </c>
      <c r="I21" s="18" t="s">
        <v>33</v>
      </c>
      <c r="J21" s="11" t="s">
        <v>53</v>
      </c>
    </row>
    <row r="22" customFormat="false" ht="15" hidden="false" customHeight="false" outlineLevel="0" collapsed="false">
      <c r="A22" s="11" t="s">
        <v>43</v>
      </c>
      <c r="B22" s="11" t="s">
        <v>54</v>
      </c>
      <c r="C22" s="11" t="s">
        <v>55</v>
      </c>
      <c r="D22" s="16"/>
      <c r="E22" s="17" t="str">
        <f aca="false">IF(D22="","",D22/$B$4)</f>
        <v/>
      </c>
      <c r="F22" s="14" t="n">
        <v>1</v>
      </c>
      <c r="G22" s="11" t="s">
        <v>46</v>
      </c>
      <c r="H22" s="15" t="str">
        <f aca="false">IF(E22="","",IF(G22="per room",E22*F22/$B$7,IF(G22="per group",E22*F22/$B$5,E22*F22)))</f>
        <v/>
      </c>
      <c r="I22" s="18" t="s">
        <v>33</v>
      </c>
      <c r="J22" s="11" t="s">
        <v>56</v>
      </c>
    </row>
    <row r="23" customFormat="false" ht="15" hidden="false" customHeight="false" outlineLevel="0" collapsed="false">
      <c r="A23" s="11" t="s">
        <v>43</v>
      </c>
      <c r="B23" s="11" t="s">
        <v>57</v>
      </c>
      <c r="C23" s="11" t="s">
        <v>58</v>
      </c>
      <c r="D23" s="12" t="n">
        <v>20000</v>
      </c>
      <c r="E23" s="15" t="n">
        <f aca="false">IF(D23="","",D23/$B$4)</f>
        <v>127.364197923964</v>
      </c>
      <c r="F23" s="14" t="n">
        <v>1</v>
      </c>
      <c r="G23" s="11" t="s">
        <v>46</v>
      </c>
      <c r="H23" s="15" t="n">
        <f aca="false">IF(E23="","",IF(G23="per room",E23*F23/$B$7,IF(G23="per group",E23*F23/$B$5,E23*F23)))</f>
        <v>127.364197923964</v>
      </c>
      <c r="I23" s="11" t="s">
        <v>23</v>
      </c>
      <c r="J23" s="11" t="s">
        <v>59</v>
      </c>
    </row>
    <row r="24" customFormat="false" ht="26.85" hidden="false" customHeight="false" outlineLevel="0" collapsed="false">
      <c r="A24" s="11" t="s">
        <v>43</v>
      </c>
      <c r="B24" s="11" t="s">
        <v>60</v>
      </c>
      <c r="C24" s="11" t="s">
        <v>61</v>
      </c>
      <c r="D24" s="12" t="n">
        <v>2500</v>
      </c>
      <c r="E24" s="15" t="n">
        <f aca="false">IF(D24="","",D24/$B$4)</f>
        <v>15.9205247404954</v>
      </c>
      <c r="F24" s="14" t="n">
        <v>1</v>
      </c>
      <c r="G24" s="11" t="s">
        <v>46</v>
      </c>
      <c r="H24" s="15" t="n">
        <f aca="false">IF(E24="","",IF(G24="per room",E24*F24/$B$7,IF(G24="per group",E24*F24/$B$5,E24*F24)))</f>
        <v>15.9205247404954</v>
      </c>
      <c r="I24" s="11" t="s">
        <v>23</v>
      </c>
      <c r="J24" s="11" t="s">
        <v>62</v>
      </c>
    </row>
    <row r="25" customFormat="false" ht="15" hidden="false" customHeight="false" outlineLevel="0" collapsed="false">
      <c r="A25" s="11" t="s">
        <v>43</v>
      </c>
      <c r="B25" s="11" t="s">
        <v>63</v>
      </c>
      <c r="C25" s="11" t="s">
        <v>64</v>
      </c>
      <c r="D25" s="16"/>
      <c r="E25" s="17" t="str">
        <f aca="false">IF(D25="","",D25/$B$4)</f>
        <v/>
      </c>
      <c r="F25" s="14" t="n">
        <v>1</v>
      </c>
      <c r="G25" s="11" t="s">
        <v>46</v>
      </c>
      <c r="H25" s="15" t="str">
        <f aca="false">IF(E25="","",IF(G25="per room",E25*F25/$B$7,IF(G25="per group",E25*F25/$B$5,E25*F25)))</f>
        <v/>
      </c>
      <c r="I25" s="18" t="s">
        <v>33</v>
      </c>
      <c r="J25" s="11" t="s">
        <v>34</v>
      </c>
    </row>
    <row r="26" customFormat="false" ht="26.85" hidden="false" customHeight="false" outlineLevel="0" collapsed="false">
      <c r="A26" s="11" t="s">
        <v>43</v>
      </c>
      <c r="B26" s="11" t="s">
        <v>65</v>
      </c>
      <c r="C26" s="11" t="s">
        <v>66</v>
      </c>
      <c r="D26" s="16"/>
      <c r="E26" s="17" t="str">
        <f aca="false">IF(D26="","",D26/$B$4)</f>
        <v/>
      </c>
      <c r="F26" s="14" t="n">
        <v>1</v>
      </c>
      <c r="G26" s="11" t="s">
        <v>46</v>
      </c>
      <c r="H26" s="15" t="str">
        <f aca="false">IF(E26="","",IF(G26="per room",E26*F26/$B$7,IF(G26="per group",E26*F26/$B$5,E26*F26)))</f>
        <v/>
      </c>
      <c r="I26" s="18" t="s">
        <v>33</v>
      </c>
      <c r="J26" s="11" t="s">
        <v>34</v>
      </c>
    </row>
    <row r="27" customFormat="false" ht="15" hidden="false" customHeight="false" outlineLevel="0" collapsed="false">
      <c r="A27" s="9" t="s">
        <v>67</v>
      </c>
      <c r="B27" s="10"/>
      <c r="C27" s="10"/>
      <c r="D27" s="10"/>
      <c r="E27" s="10"/>
      <c r="F27" s="10"/>
      <c r="G27" s="10"/>
      <c r="H27" s="10"/>
      <c r="I27" s="10"/>
      <c r="J27" s="10"/>
    </row>
    <row r="28" customFormat="false" ht="26.85" hidden="false" customHeight="false" outlineLevel="0" collapsed="false">
      <c r="A28" s="11" t="s">
        <v>67</v>
      </c>
      <c r="B28" s="11" t="s">
        <v>68</v>
      </c>
      <c r="C28" s="11" t="s">
        <v>69</v>
      </c>
      <c r="D28" s="12" t="n">
        <v>2600</v>
      </c>
      <c r="E28" s="15" t="n">
        <f aca="false">IF(D28="","",D28/$B$4)</f>
        <v>16.5573457301153</v>
      </c>
      <c r="F28" s="14" t="n">
        <v>3</v>
      </c>
      <c r="G28" s="11" t="s">
        <v>46</v>
      </c>
      <c r="H28" s="15" t="n">
        <f aca="false">IF(E28="","",IF(G28="per room",E28*F28/$B$7,IF(G28="per group",E28*F28/$B$5,E28*F28)))</f>
        <v>49.6720371903458</v>
      </c>
      <c r="I28" s="11" t="s">
        <v>23</v>
      </c>
      <c r="J28" s="11" t="s">
        <v>70</v>
      </c>
    </row>
    <row r="29" customFormat="false" ht="26.85" hidden="false" customHeight="false" outlineLevel="0" collapsed="false">
      <c r="A29" s="11" t="s">
        <v>67</v>
      </c>
      <c r="B29" s="11" t="s">
        <v>71</v>
      </c>
      <c r="C29" s="11" t="s">
        <v>52</v>
      </c>
      <c r="D29" s="12" t="n">
        <v>3500</v>
      </c>
      <c r="E29" s="15" t="n">
        <f aca="false">IF(D29="","",D29/$B$4)</f>
        <v>22.2887346366936</v>
      </c>
      <c r="F29" s="14" t="n">
        <v>1</v>
      </c>
      <c r="G29" s="11" t="s">
        <v>46</v>
      </c>
      <c r="H29" s="15" t="n">
        <f aca="false">IF(E29="","",IF(G29="per room",E29*F29/$B$7,IF(G29="per group",E29*F29/$B$5,E29*F29)))</f>
        <v>22.2887346366936</v>
      </c>
      <c r="I29" s="11" t="s">
        <v>23</v>
      </c>
      <c r="J29" s="11" t="s">
        <v>72</v>
      </c>
    </row>
    <row r="30" customFormat="false" ht="15" hidden="false" customHeight="false" outlineLevel="0" collapsed="false">
      <c r="A30" s="11" t="s">
        <v>67</v>
      </c>
      <c r="B30" s="11" t="s">
        <v>73</v>
      </c>
      <c r="C30" s="11" t="s">
        <v>74</v>
      </c>
      <c r="D30" s="16"/>
      <c r="E30" s="17" t="str">
        <f aca="false">IF(D30="","",D30/$B$4)</f>
        <v/>
      </c>
      <c r="F30" s="14" t="n">
        <v>1</v>
      </c>
      <c r="G30" s="11" t="s">
        <v>46</v>
      </c>
      <c r="H30" s="15" t="str">
        <f aca="false">IF(E30="","",IF(G30="per room",E30*F30/$B$7,IF(G30="per group",E30*F30/$B$5,E30*F30)))</f>
        <v/>
      </c>
      <c r="I30" s="18" t="s">
        <v>33</v>
      </c>
      <c r="J30" s="11" t="s">
        <v>34</v>
      </c>
    </row>
    <row r="31" customFormat="false" ht="15" hidden="false" customHeight="false" outlineLevel="0" collapsed="false">
      <c r="A31" s="9" t="s">
        <v>75</v>
      </c>
      <c r="B31" s="10"/>
      <c r="C31" s="10"/>
      <c r="D31" s="10"/>
      <c r="E31" s="10"/>
      <c r="F31" s="10"/>
      <c r="G31" s="10"/>
      <c r="H31" s="10"/>
      <c r="I31" s="10"/>
      <c r="J31" s="10"/>
    </row>
    <row r="32" customFormat="false" ht="15" hidden="false" customHeight="false" outlineLevel="0" collapsed="false">
      <c r="A32" s="11" t="s">
        <v>75</v>
      </c>
      <c r="B32" s="11" t="s">
        <v>76</v>
      </c>
      <c r="C32" s="11" t="s">
        <v>77</v>
      </c>
      <c r="D32" s="16"/>
      <c r="E32" s="17" t="str">
        <f aca="false">IF(D32="","",D32/$B$4)</f>
        <v/>
      </c>
      <c r="F32" s="14" t="n">
        <v>1</v>
      </c>
      <c r="G32" s="11" t="s">
        <v>46</v>
      </c>
      <c r="H32" s="15" t="str">
        <f aca="false">IF(E32="","",IF(G32="per room",E32*F32/$B$7,IF(G32="per group",E32*F32/$B$5,E32*F32)))</f>
        <v/>
      </c>
      <c r="I32" s="18" t="s">
        <v>33</v>
      </c>
      <c r="J32" s="11" t="s">
        <v>34</v>
      </c>
    </row>
    <row r="33" customFormat="false" ht="15" hidden="false" customHeight="false" outlineLevel="0" collapsed="false">
      <c r="A33" s="11" t="s">
        <v>75</v>
      </c>
      <c r="B33" s="11" t="s">
        <v>78</v>
      </c>
      <c r="C33" s="11" t="s">
        <v>77</v>
      </c>
      <c r="D33" s="16"/>
      <c r="E33" s="17" t="str">
        <f aca="false">IF(D33="","",D33/$B$4)</f>
        <v/>
      </c>
      <c r="F33" s="14" t="n">
        <v>1</v>
      </c>
      <c r="G33" s="11" t="s">
        <v>46</v>
      </c>
      <c r="H33" s="15" t="str">
        <f aca="false">IF(E33="","",IF(G33="per room",E33*F33/$B$7,IF(G33="per group",E33*F33/$B$5,E33*F33)))</f>
        <v/>
      </c>
      <c r="I33" s="18" t="s">
        <v>33</v>
      </c>
      <c r="J33" s="11" t="s">
        <v>34</v>
      </c>
    </row>
    <row r="34" customFormat="false" ht="15" hidden="false" customHeight="false" outlineLevel="0" collapsed="false">
      <c r="A34" s="11" t="s">
        <v>75</v>
      </c>
      <c r="B34" s="11" t="s">
        <v>79</v>
      </c>
      <c r="C34" s="11" t="s">
        <v>80</v>
      </c>
      <c r="D34" s="16"/>
      <c r="E34" s="17" t="str">
        <f aca="false">IF(D34="","",D34/$B$4)</f>
        <v/>
      </c>
      <c r="F34" s="14" t="n">
        <v>1</v>
      </c>
      <c r="G34" s="11" t="s">
        <v>46</v>
      </c>
      <c r="H34" s="15" t="str">
        <f aca="false">IF(E34="","",IF(G34="per room",E34*F34/$B$7,IF(G34="per group",E34*F34/$B$5,E34*F34)))</f>
        <v/>
      </c>
      <c r="I34" s="18" t="s">
        <v>33</v>
      </c>
      <c r="J34" s="11" t="s">
        <v>34</v>
      </c>
    </row>
    <row r="35" customFormat="false" ht="15" hidden="false" customHeight="false" outlineLevel="0" collapsed="false">
      <c r="A35" s="11" t="s">
        <v>75</v>
      </c>
      <c r="B35" s="11" t="s">
        <v>81</v>
      </c>
      <c r="C35" s="11" t="s">
        <v>80</v>
      </c>
      <c r="D35" s="16"/>
      <c r="E35" s="17" t="str">
        <f aca="false">IF(D35="","",D35/$B$4)</f>
        <v/>
      </c>
      <c r="F35" s="14" t="n">
        <v>1</v>
      </c>
      <c r="G35" s="11" t="s">
        <v>46</v>
      </c>
      <c r="H35" s="15" t="str">
        <f aca="false">IF(E35="","",IF(G35="per room",E35*F35/$B$7,IF(G35="per group",E35*F35/$B$5,E35*F35)))</f>
        <v/>
      </c>
      <c r="I35" s="18" t="s">
        <v>33</v>
      </c>
      <c r="J35" s="11" t="s">
        <v>34</v>
      </c>
    </row>
    <row r="36" customFormat="false" ht="15" hidden="false" customHeight="false" outlineLevel="0" collapsed="false">
      <c r="A36" s="11" t="s">
        <v>75</v>
      </c>
      <c r="B36" s="11" t="s">
        <v>82</v>
      </c>
      <c r="C36" s="11" t="s">
        <v>80</v>
      </c>
      <c r="D36" s="16"/>
      <c r="E36" s="17" t="str">
        <f aca="false">IF(D36="","",D36/$B$4)</f>
        <v/>
      </c>
      <c r="F36" s="14" t="n">
        <v>1</v>
      </c>
      <c r="G36" s="11" t="s">
        <v>46</v>
      </c>
      <c r="H36" s="15" t="str">
        <f aca="false">IF(E36="","",IF(G36="per room",E36*F36/$B$7,IF(G36="per group",E36*F36/$B$5,E36*F36)))</f>
        <v/>
      </c>
      <c r="I36" s="18" t="s">
        <v>33</v>
      </c>
      <c r="J36" s="11" t="s">
        <v>34</v>
      </c>
    </row>
    <row r="37" customFormat="false" ht="15" hidden="false" customHeight="false" outlineLevel="0" collapsed="false">
      <c r="A37" s="11" t="s">
        <v>75</v>
      </c>
      <c r="B37" s="11" t="s">
        <v>83</v>
      </c>
      <c r="C37" s="11" t="s">
        <v>52</v>
      </c>
      <c r="D37" s="16"/>
      <c r="E37" s="17" t="str">
        <f aca="false">IF(D37="","",D37/$B$4)</f>
        <v/>
      </c>
      <c r="F37" s="14" t="n">
        <v>1</v>
      </c>
      <c r="G37" s="11" t="s">
        <v>46</v>
      </c>
      <c r="H37" s="15" t="str">
        <f aca="false">IF(E37="","",IF(G37="per room",E37*F37/$B$7,IF(G37="per group",E37*F37/$B$5,E37*F37)))</f>
        <v/>
      </c>
      <c r="I37" s="18" t="s">
        <v>33</v>
      </c>
      <c r="J37" s="11" t="s">
        <v>34</v>
      </c>
    </row>
    <row r="38" customFormat="false" ht="15" hidden="false" customHeight="false" outlineLevel="0" collapsed="false">
      <c r="A38" s="11" t="s">
        <v>75</v>
      </c>
      <c r="B38" s="11" t="s">
        <v>84</v>
      </c>
      <c r="C38" s="11" t="s">
        <v>52</v>
      </c>
      <c r="D38" s="16"/>
      <c r="E38" s="17" t="str">
        <f aca="false">IF(D38="","",D38/$B$4)</f>
        <v/>
      </c>
      <c r="F38" s="14" t="n">
        <v>1</v>
      </c>
      <c r="G38" s="11" t="s">
        <v>46</v>
      </c>
      <c r="H38" s="15" t="str">
        <f aca="false">IF(E38="","",IF(G38="per room",E38*F38/$B$7,IF(G38="per group",E38*F38/$B$5,E38*F38)))</f>
        <v/>
      </c>
      <c r="I38" s="18" t="s">
        <v>33</v>
      </c>
      <c r="J38" s="11" t="s">
        <v>34</v>
      </c>
    </row>
    <row r="39" customFormat="false" ht="15" hidden="false" customHeight="false" outlineLevel="0" collapsed="false">
      <c r="A39" s="11" t="s">
        <v>75</v>
      </c>
      <c r="B39" s="11" t="s">
        <v>85</v>
      </c>
      <c r="C39" s="11" t="s">
        <v>86</v>
      </c>
      <c r="D39" s="12" t="n">
        <v>0</v>
      </c>
      <c r="E39" s="15" t="n">
        <f aca="false">IF(D39="","",D39/$B$4)</f>
        <v>0</v>
      </c>
      <c r="F39" s="14" t="n">
        <v>1</v>
      </c>
      <c r="G39" s="11" t="s">
        <v>46</v>
      </c>
      <c r="H39" s="15" t="n">
        <f aca="false">IF(E39="","",IF(G39="per room",E39*F39/$B$7,IF(G39="per group",E39*F39/$B$5,E39*F39)))</f>
        <v>0</v>
      </c>
      <c r="I39" s="11" t="s">
        <v>23</v>
      </c>
      <c r="J39" s="11" t="s">
        <v>87</v>
      </c>
    </row>
    <row r="40" customFormat="false" ht="15" hidden="false" customHeight="false" outlineLevel="0" collapsed="false">
      <c r="A40" s="11" t="s">
        <v>75</v>
      </c>
      <c r="B40" s="11" t="s">
        <v>88</v>
      </c>
      <c r="C40" s="11" t="s">
        <v>55</v>
      </c>
      <c r="D40" s="16"/>
      <c r="E40" s="17" t="str">
        <f aca="false">IF(D40="","",D40/$B$4)</f>
        <v/>
      </c>
      <c r="F40" s="14" t="n">
        <v>1</v>
      </c>
      <c r="G40" s="11" t="s">
        <v>46</v>
      </c>
      <c r="H40" s="15" t="str">
        <f aca="false">IF(E40="","",IF(G40="per room",E40*F40/$B$7,IF(G40="per group",E40*F40/$B$5,E40*F40)))</f>
        <v/>
      </c>
      <c r="I40" s="18" t="s">
        <v>33</v>
      </c>
      <c r="J40" s="11" t="s">
        <v>34</v>
      </c>
    </row>
    <row r="41" customFormat="false" ht="15" hidden="false" customHeight="false" outlineLevel="0" collapsed="false">
      <c r="A41" s="9" t="s">
        <v>89</v>
      </c>
      <c r="B41" s="10"/>
      <c r="C41" s="10"/>
      <c r="D41" s="10"/>
      <c r="E41" s="10"/>
      <c r="F41" s="10"/>
      <c r="G41" s="10"/>
      <c r="H41" s="10"/>
      <c r="I41" s="10"/>
      <c r="J41" s="10"/>
    </row>
    <row r="42" customFormat="false" ht="15" hidden="false" customHeight="false" outlineLevel="0" collapsed="false">
      <c r="A42" s="11" t="s">
        <v>89</v>
      </c>
      <c r="B42" s="11" t="s">
        <v>90</v>
      </c>
      <c r="C42" s="11" t="s">
        <v>77</v>
      </c>
      <c r="D42" s="16"/>
      <c r="E42" s="17" t="str">
        <f aca="false">IF(D42="","",D42/$B$4)</f>
        <v/>
      </c>
      <c r="F42" s="14" t="n">
        <v>1</v>
      </c>
      <c r="G42" s="11" t="s">
        <v>91</v>
      </c>
      <c r="H42" s="15" t="str">
        <f aca="false">IF(E42="","",IF(G42="per room",E42*F42/$B$7,IF(G42="per group",E42*F42/$B$5,E42*F42)))</f>
        <v/>
      </c>
      <c r="I42" s="18" t="s">
        <v>33</v>
      </c>
      <c r="J42" s="11" t="s">
        <v>92</v>
      </c>
    </row>
    <row r="43" customFormat="false" ht="15" hidden="false" customHeight="false" outlineLevel="0" collapsed="false">
      <c r="A43" s="11" t="s">
        <v>89</v>
      </c>
      <c r="B43" s="11" t="s">
        <v>93</v>
      </c>
      <c r="C43" s="11" t="s">
        <v>94</v>
      </c>
      <c r="D43" s="16"/>
      <c r="E43" s="17" t="str">
        <f aca="false">IF(D43="","",D43/$B$4)</f>
        <v/>
      </c>
      <c r="F43" s="14" t="n">
        <v>1</v>
      </c>
      <c r="G43" s="11" t="s">
        <v>91</v>
      </c>
      <c r="H43" s="15" t="str">
        <f aca="false">IF(E43="","",IF(G43="per room",E43*F43/$B$7,IF(G43="per group",E43*F43/$B$5,E43*F43)))</f>
        <v/>
      </c>
      <c r="I43" s="18" t="s">
        <v>33</v>
      </c>
      <c r="J43" s="11" t="s">
        <v>92</v>
      </c>
    </row>
    <row r="44" customFormat="false" ht="15" hidden="false" customHeight="false" outlineLevel="0" collapsed="false">
      <c r="A44" s="11" t="s">
        <v>89</v>
      </c>
      <c r="B44" s="11" t="s">
        <v>95</v>
      </c>
      <c r="C44" s="11" t="s">
        <v>77</v>
      </c>
      <c r="D44" s="16"/>
      <c r="E44" s="17" t="str">
        <f aca="false">IF(D44="","",D44/$B$4)</f>
        <v/>
      </c>
      <c r="F44" s="14" t="n">
        <v>1</v>
      </c>
      <c r="G44" s="11" t="s">
        <v>46</v>
      </c>
      <c r="H44" s="15" t="str">
        <f aca="false">IF(E44="","",IF(G44="per room",E44*F44/$B$7,IF(G44="per group",E44*F44/$B$5,E44*F44)))</f>
        <v/>
      </c>
      <c r="I44" s="18" t="s">
        <v>33</v>
      </c>
      <c r="J44" s="11" t="s">
        <v>96</v>
      </c>
    </row>
    <row r="45" customFormat="false" ht="15" hidden="false" customHeight="false" outlineLevel="0" collapsed="false">
      <c r="A45" s="9" t="s">
        <v>97</v>
      </c>
      <c r="B45" s="10"/>
      <c r="C45" s="10"/>
      <c r="D45" s="10"/>
      <c r="E45" s="10"/>
      <c r="F45" s="10"/>
      <c r="G45" s="10"/>
      <c r="H45" s="10"/>
      <c r="I45" s="10"/>
      <c r="J45" s="10"/>
    </row>
    <row r="46" customFormat="false" ht="15" hidden="false" customHeight="false" outlineLevel="0" collapsed="false">
      <c r="A46" s="11" t="s">
        <v>97</v>
      </c>
      <c r="B46" s="11" t="s">
        <v>98</v>
      </c>
      <c r="C46" s="11" t="s">
        <v>99</v>
      </c>
      <c r="D46" s="16"/>
      <c r="E46" s="17" t="str">
        <f aca="false">IF(D46="","",D46/$B$4)</f>
        <v/>
      </c>
      <c r="F46" s="14" t="n">
        <v>1</v>
      </c>
      <c r="G46" s="11" t="s">
        <v>46</v>
      </c>
      <c r="H46" s="15" t="str">
        <f aca="false">IF(E46="","",IF(G46="per room",E46*F46/$B$7,IF(G46="per group",E46*F46/$B$5,E46*F46)))</f>
        <v/>
      </c>
      <c r="I46" s="18" t="s">
        <v>33</v>
      </c>
      <c r="J46" s="11" t="s">
        <v>34</v>
      </c>
    </row>
    <row r="47" customFormat="false" ht="15" hidden="false" customHeight="false" outlineLevel="0" collapsed="false">
      <c r="A47" s="11" t="s">
        <v>97</v>
      </c>
      <c r="B47" s="11" t="s">
        <v>100</v>
      </c>
      <c r="C47" s="11" t="s">
        <v>49</v>
      </c>
      <c r="D47" s="16"/>
      <c r="E47" s="17" t="str">
        <f aca="false">IF(D47="","",D47/$B$4)</f>
        <v/>
      </c>
      <c r="F47" s="14" t="n">
        <v>1</v>
      </c>
      <c r="G47" s="11" t="s">
        <v>46</v>
      </c>
      <c r="H47" s="15" t="str">
        <f aca="false">IF(E47="","",IF(G47="per room",E47*F47/$B$7,IF(G47="per group",E47*F47/$B$5,E47*F47)))</f>
        <v/>
      </c>
      <c r="I47" s="18" t="s">
        <v>33</v>
      </c>
      <c r="J47" s="11" t="s">
        <v>34</v>
      </c>
    </row>
    <row r="48" customFormat="false" ht="15" hidden="false" customHeight="false" outlineLevel="0" collapsed="false">
      <c r="A48" s="11" t="s">
        <v>97</v>
      </c>
      <c r="B48" s="11" t="s">
        <v>101</v>
      </c>
      <c r="C48" s="11" t="s">
        <v>86</v>
      </c>
      <c r="D48" s="16"/>
      <c r="E48" s="17" t="str">
        <f aca="false">IF(D48="","",D48/$B$4)</f>
        <v/>
      </c>
      <c r="F48" s="14" t="n">
        <v>1</v>
      </c>
      <c r="G48" s="11" t="s">
        <v>46</v>
      </c>
      <c r="H48" s="15" t="str">
        <f aca="false">IF(E48="","",IF(G48="per room",E48*F48/$B$7,IF(G48="per group",E48*F48/$B$5,E48*F48)))</f>
        <v/>
      </c>
      <c r="I48" s="18" t="s">
        <v>33</v>
      </c>
      <c r="J48" s="11" t="s">
        <v>34</v>
      </c>
    </row>
    <row r="49" customFormat="false" ht="15" hidden="false" customHeight="false" outlineLevel="0" collapsed="false">
      <c r="A49" s="11" t="s">
        <v>97</v>
      </c>
      <c r="B49" s="11" t="s">
        <v>102</v>
      </c>
      <c r="C49" s="11" t="s">
        <v>103</v>
      </c>
      <c r="D49" s="16"/>
      <c r="E49" s="17" t="str">
        <f aca="false">IF(D49="","",D49/$B$4)</f>
        <v/>
      </c>
      <c r="F49" s="14" t="n">
        <v>1</v>
      </c>
      <c r="G49" s="11" t="s">
        <v>46</v>
      </c>
      <c r="H49" s="15" t="str">
        <f aca="false">IF(E49="","",IF(G49="per room",E49*F49/$B$7,IF(G49="per group",E49*F49/$B$5,E49*F49)))</f>
        <v/>
      </c>
      <c r="I49" s="18" t="s">
        <v>33</v>
      </c>
      <c r="J49" s="11" t="s">
        <v>34</v>
      </c>
    </row>
    <row r="50" customFormat="false" ht="15" hidden="false" customHeight="false" outlineLevel="0" collapsed="false">
      <c r="A50" s="11" t="s">
        <v>97</v>
      </c>
      <c r="B50" s="11" t="s">
        <v>104</v>
      </c>
      <c r="C50" s="11"/>
      <c r="D50" s="16"/>
      <c r="E50" s="17" t="str">
        <f aca="false">IF(D50="","",D50/$B$4)</f>
        <v/>
      </c>
      <c r="F50" s="14" t="n">
        <v>1</v>
      </c>
      <c r="G50" s="11" t="s">
        <v>46</v>
      </c>
      <c r="H50" s="15" t="str">
        <f aca="false">IF(E50="","",IF(G50="per room",E50*F50/$B$7,IF(G50="per group",E50*F50/$B$5,E50*F50)))</f>
        <v/>
      </c>
      <c r="I50" s="18" t="s">
        <v>33</v>
      </c>
      <c r="J50" s="11" t="s">
        <v>105</v>
      </c>
    </row>
    <row r="51" customFormat="false" ht="15" hidden="false" customHeight="false" outlineLevel="0" collapsed="false">
      <c r="A51" s="9" t="s">
        <v>106</v>
      </c>
      <c r="B51" s="10"/>
      <c r="C51" s="10"/>
      <c r="D51" s="10"/>
      <c r="E51" s="10"/>
      <c r="F51" s="10"/>
      <c r="G51" s="10"/>
      <c r="H51" s="10"/>
      <c r="I51" s="10"/>
      <c r="J51" s="10"/>
    </row>
    <row r="52" customFormat="false" ht="26.85" hidden="false" customHeight="false" outlineLevel="0" collapsed="false">
      <c r="A52" s="11" t="s">
        <v>106</v>
      </c>
      <c r="B52" s="11" t="s">
        <v>107</v>
      </c>
      <c r="C52" s="11" t="s">
        <v>108</v>
      </c>
      <c r="D52" s="11"/>
      <c r="E52" s="11"/>
      <c r="F52" s="11"/>
      <c r="G52" s="11" t="s">
        <v>109</v>
      </c>
      <c r="H52" s="15" t="n">
        <f aca="false">(SUMIFS(H10:H50,G10:G50,"per room")*$B$7+SUMIFS(H10:H50,G10:G50,"per person"))/$B$5</f>
        <v>253.045231749772</v>
      </c>
      <c r="I52" s="11" t="s">
        <v>110</v>
      </c>
      <c r="J52" s="11" t="s">
        <v>111</v>
      </c>
    </row>
    <row r="54" customFormat="false" ht="15" hidden="false" customHeight="false" outlineLevel="0" collapsed="false">
      <c r="A54" s="19" t="s">
        <v>112</v>
      </c>
    </row>
    <row r="55" customFormat="false" ht="15" hidden="false" customHeight="false" outlineLevel="0" collapsed="false">
      <c r="A55" s="3" t="s">
        <v>113</v>
      </c>
      <c r="B55" s="20" t="n">
        <f aca="false">SUM(H10:H52)</f>
        <v>2006.30356741812</v>
      </c>
    </row>
    <row r="56" customFormat="false" ht="15" hidden="false" customHeight="false" outlineLevel="0" collapsed="false">
      <c r="A56" s="3" t="s">
        <v>114</v>
      </c>
      <c r="B56" s="20" t="n">
        <f aca="false">$B$6</f>
        <v>5695</v>
      </c>
    </row>
    <row r="57" customFormat="false" ht="15" hidden="false" customHeight="false" outlineLevel="0" collapsed="false">
      <c r="A57" s="21" t="s">
        <v>115</v>
      </c>
      <c r="B57" s="22" t="n">
        <f aca="false">B56-B55</f>
        <v>3688.69643258188</v>
      </c>
    </row>
    <row r="58" customFormat="false" ht="15" hidden="false" customHeight="false" outlineLevel="0" collapsed="false">
      <c r="A58" s="3" t="s">
        <v>116</v>
      </c>
      <c r="B58" s="23" t="n">
        <f aca="false">COUNTIF(I10:I50,"MISSING")</f>
        <v>23</v>
      </c>
    </row>
    <row r="59" customFormat="false" ht="15" hidden="false" customHeight="false" outlineLevel="0" collapsed="false">
      <c r="A59" s="3" t="s">
        <v>117</v>
      </c>
      <c r="B59" s="20" t="n">
        <f aca="false">SUMIFS(H10:H50,G10:G50,"per room")*($B$7-1)</f>
        <v>1283.28444532892</v>
      </c>
    </row>
    <row r="60" customFormat="false" ht="15" hidden="false" customHeight="false" outlineLevel="0" collapsed="false">
      <c r="A60" s="3" t="s">
        <v>118</v>
      </c>
      <c r="B60" s="20" t="n">
        <f aca="false">B56*$B$5</f>
        <v>68340</v>
      </c>
    </row>
    <row r="61" customFormat="false" ht="15" hidden="false" customHeight="false" outlineLevel="0" collapsed="false">
      <c r="A61" s="3" t="s">
        <v>119</v>
      </c>
      <c r="B61" s="20" t="n">
        <f aca="false">B55*$B$5</f>
        <v>24075.6428090174</v>
      </c>
    </row>
    <row r="63" customFormat="false" ht="15" hidden="false" customHeight="false" outlineLevel="0" collapsed="false">
      <c r="A63" s="21" t="s">
        <v>120</v>
      </c>
    </row>
    <row r="64" customFormat="false" ht="15" hidden="false" customHeight="false" outlineLevel="0" collapsed="false">
      <c r="A64" s="3" t="s">
        <v>19</v>
      </c>
      <c r="B64" s="20" t="n">
        <f aca="false">SUMIFS(H10:H52,A10:A52,"Lodging")</f>
        <v>1283.28444532892</v>
      </c>
    </row>
    <row r="65" customFormat="false" ht="15" hidden="false" customHeight="false" outlineLevel="0" collapsed="false">
      <c r="A65" s="3" t="s">
        <v>43</v>
      </c>
      <c r="B65" s="20" t="n">
        <f aca="false">SUMIFS(H10:H52,A10:A52,"Transport")</f>
        <v>398.013118512386</v>
      </c>
    </row>
    <row r="66" customFormat="false" ht="15" hidden="false" customHeight="false" outlineLevel="0" collapsed="false">
      <c r="A66" s="3" t="s">
        <v>67</v>
      </c>
      <c r="B66" s="20" t="n">
        <f aca="false">SUMIFS(H10:H52,A10:A52,"Festivals")</f>
        <v>71.9607718270394</v>
      </c>
    </row>
    <row r="67" customFormat="false" ht="15" hidden="false" customHeight="false" outlineLevel="0" collapsed="false">
      <c r="A67" s="3" t="s">
        <v>75</v>
      </c>
      <c r="B67" s="20" t="n">
        <f aca="false">SUMIFS(H10:H52,A10:A52,"Admissions")</f>
        <v>0</v>
      </c>
    </row>
    <row r="68" customFormat="false" ht="15" hidden="false" customHeight="false" outlineLevel="0" collapsed="false">
      <c r="A68" s="3" t="s">
        <v>89</v>
      </c>
      <c r="B68" s="20" t="n">
        <f aca="false">SUMIFS(H10:H52,A10:A52,"Partners")</f>
        <v>0</v>
      </c>
    </row>
    <row r="69" customFormat="false" ht="15" hidden="false" customHeight="false" outlineLevel="0" collapsed="false">
      <c r="A69" s="3" t="s">
        <v>97</v>
      </c>
      <c r="B69" s="20" t="n">
        <f aca="false">SUMIFS(H10:H52,A10:A52,"Group meals")</f>
        <v>0</v>
      </c>
    </row>
    <row r="70" customFormat="false" ht="15" hidden="false" customHeight="false" outlineLevel="0" collapsed="false">
      <c r="A70" s="3" t="s">
        <v>106</v>
      </c>
      <c r="B70" s="20" t="n">
        <f aca="false">SUMIFS(H10:H52,A10:A52,"Leader")</f>
        <v>253.045231749772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2026-09-25T18:36:21Z</dcterms:created>
  <dc:creator>openpyxl</dc:creator>
  <dc:description/>
  <dc:language>en-US</dc:language>
  <cp:lastModifiedBy/>
  <dcterms:modified xsi:type="dcterms:W3CDTF">2026-09-25T18:36:21Z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