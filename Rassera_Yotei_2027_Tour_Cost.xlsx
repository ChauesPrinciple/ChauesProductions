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r Cost" sheetId="1" state="visible" r:id="rId3"/>
    <sheet name="Room Pric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<sst xmlns="http://schemas.openxmlformats.org/spreadsheetml/2006/main" count="291" uniqueCount="177">
  <si>
    <t xml:space="preserve">Rassera! to Yōtei! 2027 : Cost and Margin, 12 Travelers</t>
  </si>
  <si>
    <t xml:space="preserve">Blue = input you can change. Fora comparable = Fora portal rate on the latest matching weekday it prices (March 2027). Yellow = missing price, fill in column D (yen) or E (dollars). Dates follow the Rassera! to Yōtei! itinerary, Aug 2 to 12, 2027.</t>
  </si>
  <si>
    <t xml:space="preserve">Exchange rate (yen per dollar)</t>
  </si>
  <si>
    <t xml:space="preserve">xe.com mid-market, Oct 13 2026</t>
  </si>
  <si>
    <t xml:space="preserve">Travelers</t>
  </si>
  <si>
    <t xml:space="preserve">From the party mix on the Room Pricing sheet</t>
  </si>
  <si>
    <t xml:space="preserve">Price per person, sharing a double ($)</t>
  </si>
  <si>
    <t xml:space="preserve">Formula: cost plus profit cap, rounded down to $10. Singles and groups of 4: Room Pricing sheet</t>
  </si>
  <si>
    <t xml:space="preserve">People per room (double occupancy)</t>
  </si>
  <si>
    <t xml:space="preserve">Profit cap per traveler ($)</t>
  </si>
  <si>
    <t xml:space="preserve">Maximum profit per person</t>
  </si>
  <si>
    <t xml:space="preserve">Leader costs in price (1 = yes, 0 = no)</t>
  </si>
  <si>
    <t xml:space="preserve">Your own room, rail, meals etc. split across travelers</t>
  </si>
  <si>
    <t xml:space="preserve">Category</t>
  </si>
  <si>
    <t xml:space="preserve">Item</t>
  </si>
  <si>
    <t xml:space="preserve">Dates</t>
  </si>
  <si>
    <t xml:space="preserve">Unit cost (¥)</t>
  </si>
  <si>
    <t xml:space="preserve">Unit cost ($)</t>
  </si>
  <si>
    <t xml:space="preserve">Qty</t>
  </si>
  <si>
    <t xml:space="preserve">Basis</t>
  </si>
  <si>
    <t xml:space="preserve">Cost per traveler ($)</t>
  </si>
  <si>
    <t xml:space="preserve">Status</t>
  </si>
  <si>
    <t xml:space="preserve">Source / note</t>
  </si>
  <si>
    <t xml:space="preserve">Lodging</t>
  </si>
  <si>
    <t xml:space="preserve">Tokyo: Sequence Miyashita Park</t>
  </si>
  <si>
    <t xml:space="preserve">Aug 2 (1 night)</t>
  </si>
  <si>
    <t xml:space="preserve">per room</t>
  </si>
  <si>
    <t xml:space="preserve">Estimate</t>
  </si>
  <si>
    <t xml:space="preserve">Booking.com public rate for Jul 29 to Aug 2, 2027 ($1,155.44 for 4 nights). Not found in Fora portal search.</t>
  </si>
  <si>
    <t xml:space="preserve">Morioka station-area hotel, Sansa week</t>
  </si>
  <si>
    <t xml:space="preserve">Aug 3 (1 night)</t>
  </si>
  <si>
    <t xml:space="preserve">Same Aug 2, 2026 survey: Aomori 3-hotel lowest average was 2.92 times the Morioka 13-hotel average, so Morioka is about ¥20,262. Off-season Fora rate at Metropolitan New Wing was $62.65.</t>
  </si>
  <si>
    <t xml:space="preserve">Aomori city hotel, Nebuta week</t>
  </si>
  <si>
    <t xml:space="preserve">Aug 4 to 8 (5 nights)</t>
  </si>
  <si>
    <t xml:space="preserve">August Nebuta-week rate: average lowest price at the 3 major Aomori hotels on sale for Aug 2, 2026 (Agoda survey, aomori-join.com, Mar 2026), outlier hotel excluded. The survey does not state room type or occupancy. Off-season Fora rate at Super Hotel Aomori was $47 a night.</t>
  </si>
  <si>
    <t xml:space="preserve">Lake Toya: Toya Onsen Hotel Hanabi, Mountain View Twin, room only</t>
  </si>
  <si>
    <t xml:space="preserve">Aug 9 to 11 (3 nights)</t>
  </si>
  <si>
    <t xml:space="preserve">Fora comparable</t>
  </si>
  <si>
    <t xml:space="preserve">Fora portal, Mon Mar 15 to Thu Mar 18, 2027: $368.01 total for 3 nights incl. taxes and fees. August will price higher.</t>
  </si>
  <si>
    <t xml:space="preserve">Aug 12 (1 night)</t>
  </si>
  <si>
    <t xml:space="preserve">Optional closing night; Qty 0 because the trip ends with the Aug 12 flight. Set to 1 if you add it.</t>
  </si>
  <si>
    <t xml:space="preserve">Transport</t>
  </si>
  <si>
    <t xml:space="preserve">Shinkansen Tokyo to Morioka (Hayabusa, reserved)</t>
  </si>
  <si>
    <t xml:space="preserve">Aug 3</t>
  </si>
  <si>
    <t xml:space="preserve">per person</t>
  </si>
  <si>
    <t xml:space="preserve">Quote</t>
  </si>
  <si>
    <t xml:space="preserve">Published fare, ¥9,020 fare plus ¥6,430 reserved-seat charge</t>
  </si>
  <si>
    <t xml:space="preserve">JR East-South Hokkaido Rail Pass (6 days)</t>
  </si>
  <si>
    <t xml:space="preserve">Aug 4 to 9</t>
  </si>
  <si>
    <t xml:space="preserve">JR East official price. Covers Morioka to Aomori, Hachinohe, Hirosaki and the Gono Line, Shin-Aomori to Kikonai, and the limited express to Toya.</t>
  </si>
  <si>
    <t xml:space="preserve">Train Goshogawara to Aomori after the parade (21:21, change at Kawabe, arr. 22:55)</t>
  </si>
  <si>
    <t xml:space="preserve">Aug 8</t>
  </si>
  <si>
    <t xml:space="preserve">Covered by the rail pass. Times from Ekitan last-train search on the Oct 2026 timetable; confirm the August 2027 timetable.</t>
  </si>
  <si>
    <t xml:space="preserve">Bus Toya Station to Toyako Onsen and back</t>
  </si>
  <si>
    <t xml:space="preserve">Aug 9, Aug 12</t>
  </si>
  <si>
    <t xml:space="preserve">Donan Bus, ¥400 each way</t>
  </si>
  <si>
    <t xml:space="preserve">Chartered microbus with driver: Lake Hill Farm, Fukidashi Park, Noboribetsu, back to Toya</t>
  </si>
  <si>
    <t xml:space="preserve">Aug 11</t>
  </si>
  <si>
    <t xml:space="preserve">per group</t>
  </si>
  <si>
    <t xml:space="preserve">Hire Car Japan published rate: microbus, 9 hours, outside Sapporo, ¥145,000 incl. driver, fuel and tolls. Rate is for Sapporo-based hire; a Toya start is not quoted. Seats 13 to 15 with luggage.</t>
  </si>
  <si>
    <t xml:space="preserve">Train Toya to New Chitose Airport (local and Rapid Airport)</t>
  </si>
  <si>
    <t xml:space="preserve">Aug 12</t>
  </si>
  <si>
    <t xml:space="preserve">Ekitan fare ¥3,100, no limited express, about 2 h 39 min with 2 changes</t>
  </si>
  <si>
    <t xml:space="preserve">Flight New Chitose to Haneda (JAL)</t>
  </si>
  <si>
    <t xml:space="preserve">Google Flights, Aug 12, 2027, lowest JAL nonstop fare incl. taxes, checked Oct 13, 2026</t>
  </si>
  <si>
    <t xml:space="preserve">Luggage forwarding Tokyo to Lake Toya hotel (1 large bag)</t>
  </si>
  <si>
    <t xml:space="preserve">Yamato size 140, Kanto to Hokkaido, ¥2,930 to 3,130 (japanauthentic.com); high end used</t>
  </si>
  <si>
    <t xml:space="preserve">Airport Limousine Bus Haneda to Shibuya</t>
  </si>
  <si>
    <t xml:space="preserve">Aug 2</t>
  </si>
  <si>
    <t xml:space="preserve">Adult fare. Narita arrivals cost more.</t>
  </si>
  <si>
    <t xml:space="preserve">Bus Aomori Station to Sannai-Maruyama and back</t>
  </si>
  <si>
    <t xml:space="preserve">Aug 5</t>
  </si>
  <si>
    <t xml:space="preserve">¥310 each way. The JR Hachinohe Line to Kabushima and Tanesashi is covered by the rail pass.</t>
  </si>
  <si>
    <t xml:space="preserve">Festivals</t>
  </si>
  <si>
    <t xml:space="preserve">Nebuta Aug 7 daytime parade plus fireworks seat package</t>
  </si>
  <si>
    <t xml:space="preserve">Aug 7</t>
  </si>
  <si>
    <t xml:space="preserve">2026 package price ¥9,500; 2027 not published</t>
  </si>
  <si>
    <t xml:space="preserve">Haneto costume rental</t>
  </si>
  <si>
    <t xml:space="preserve">Aug 4</t>
  </si>
  <si>
    <t xml:space="preserve">Full set about ¥4,000; tabi, zori and hanagasa can be extra</t>
  </si>
  <si>
    <t xml:space="preserve">Admissions</t>
  </si>
  <si>
    <t xml:space="preserve">Nebuta no Ie Wa Rasse</t>
  </si>
  <si>
    <t xml:space="preserve">Adult admission</t>
  </si>
  <si>
    <t xml:space="preserve">Aomori Museum of Art</t>
  </si>
  <si>
    <t xml:space="preserve">Collection exhibition, adult</t>
  </si>
  <si>
    <t xml:space="preserve">Sannai-Maruyama Jomon Site</t>
  </si>
  <si>
    <t xml:space="preserve">Hirosaki Castle Honmaru</t>
  </si>
  <si>
    <t xml:space="preserve">Group rate for 10 or more (¥320 individual)</t>
  </si>
  <si>
    <t xml:space="preserve">Hirosaki MOCA</t>
  </si>
  <si>
    <t xml:space="preserve">Current Collection 2026-2027 price; the August 2027 exhibition is not announced</t>
  </si>
  <si>
    <t xml:space="preserve">Tachineputa Museum</t>
  </si>
  <si>
    <t xml:space="preserve">Exhibition room, adult</t>
  </si>
  <si>
    <t xml:space="preserve">Lake Toya cruise with Nakajima landing</t>
  </si>
  <si>
    <t xml:space="preserve">Aug 10</t>
  </si>
  <si>
    <t xml:space="preserve">Toyako Kisen adult fare; summer boats land on Nakajima</t>
  </si>
  <si>
    <t xml:space="preserve">Noboribetsu Jigokudani</t>
  </si>
  <si>
    <t xml:space="preserve">Free of charge (noboribetsu-spa.jp)</t>
  </si>
  <si>
    <t xml:space="preserve">Noboribetsu Date Jidai Mura (optional)</t>
  </si>
  <si>
    <t xml:space="preserve">Group rate for 8 or more (¥3,300 individual). Qty set to 0; change to 1 to include.</t>
  </si>
  <si>
    <t xml:space="preserve">Group meals</t>
  </si>
  <si>
    <t xml:space="preserve">Udatsu Sushi welcome lunch omakase</t>
  </si>
  <si>
    <t xml:space="preserve">Published lunch omakase price</t>
  </si>
  <si>
    <t xml:space="preserve">Azumaya Honten wanko soba</t>
  </si>
  <si>
    <t xml:space="preserve">Listed price at Azumaya Honten</t>
  </si>
  <si>
    <t xml:space="preserve">Lunches not otherwise covered</t>
  </si>
  <si>
    <t xml:space="preserve">Aug 3 to 11 (9)</t>
  </si>
  <si>
    <t xml:space="preserve">japan-guide mid-range lunch, top of the ¥800 to 1,500 range</t>
  </si>
  <si>
    <t xml:space="preserve">Dinners not otherwise covered</t>
  </si>
  <si>
    <t xml:space="preserve">Aug 2, 4 to 11 (9)</t>
  </si>
  <si>
    <t xml:space="preserve">japan-guide mid-range dinner, top of the ¥1,000 to 2,500 range. Aug 3 is Azumaya.</t>
  </si>
  <si>
    <t xml:space="preserve">Breakfasts</t>
  </si>
  <si>
    <t xml:space="preserve">Aug 3 to 12 (10)</t>
  </si>
  <si>
    <t xml:space="preserve">japan-guide mid-range breakfast, top of the ¥500 to 1,000 range. None of the hotel rates used here is confirmed to include breakfast.</t>
  </si>
  <si>
    <t xml:space="preserve">Leader</t>
  </si>
  <si>
    <t xml:space="preserve">Your own costs, split across travelers</t>
  </si>
  <si>
    <t xml:space="preserve">Whole trip</t>
  </si>
  <si>
    <t xml:space="preserve">leader</t>
  </si>
  <si>
    <t xml:space="preserve">Formula</t>
  </si>
  <si>
    <t xml:space="preserve">Assumption, not a quote: your single room (Room Pricing sheet) plus your per-person costs, divided by the travelers. Set B9 to 0 to leave it out.</t>
  </si>
  <si>
    <t xml:space="preserve">Summary</t>
  </si>
  <si>
    <t xml:space="preserve">Cost per traveler</t>
  </si>
  <si>
    <t xml:space="preserve">Price per traveler (sharing a double)</t>
  </si>
  <si>
    <t xml:space="preserve">Profit per traveler</t>
  </si>
  <si>
    <t xml:space="preserve">Profit margin %</t>
  </si>
  <si>
    <t xml:space="preserve">Group revenue (all sharing doubles)</t>
  </si>
  <si>
    <t xml:space="preserve">Group cost (all sharing doubles)</t>
  </si>
  <si>
    <t xml:space="preserve">Group profit (all sharing doubles)</t>
  </si>
  <si>
    <t xml:space="preserve">Missing items (not priced)</t>
  </si>
  <si>
    <t xml:space="preserve">Single price minus double price</t>
  </si>
  <si>
    <t xml:space="preserve">Subtotals by category</t>
  </si>
  <si>
    <t xml:space="preserve">Price excludes international flights and any Fora commission earned on hotel bookings.</t>
  </si>
  <si>
    <t xml:space="preserve">Rassera! to Yōtei! 2027 : Price by Room Type</t>
  </si>
  <si>
    <t xml:space="preserve">Blue = input. Lodging is the whole stay per room. Every other cost comes from the Tour Cost sheet.</t>
  </si>
  <si>
    <t xml:space="preserve">Stay</t>
  </si>
  <si>
    <t xml:space="preserve">Nights</t>
  </si>
  <si>
    <t xml:space="preserve">Single room ($)</t>
  </si>
  <si>
    <t xml:space="preserve">Double room ($)</t>
  </si>
  <si>
    <t xml:space="preserve">Room(s) for 4 ($)</t>
  </si>
  <si>
    <t xml:space="preserve">Notes</t>
  </si>
  <si>
    <t xml:space="preserve">Tokyo, Sequence Miyashita Park</t>
  </si>
  <si>
    <t xml:space="preserve">Single: Booking.com, 1 adult, Jul 29, 2027 ($189). Double: Tour Cost row. Group of 4 takes 2 doubles.</t>
  </si>
  <si>
    <t xml:space="preserve">Morioka, station-area hotel</t>
  </si>
  <si>
    <t xml:space="preserve">Survey rate per room; the survey does not state occupancy, so the same rate is used for 1 or 2 people. Group of 4 takes 2 rooms.</t>
  </si>
  <si>
    <t xml:space="preserve">Aomori, Nebuta week</t>
  </si>
  <si>
    <t xml:space="preserve">Survey rate per room; occupancy not stated, so the same rate is used for 1 or 2 people. Group of 4 takes 2 rooms.</t>
  </si>
  <si>
    <t xml:space="preserve">Lake Toya, Toya Onsen Hotel Hanabi</t>
  </si>
  <si>
    <t xml:space="preserve">Fora portal, Mar 15 to 18, 2027: Single Room with breakfast $155.43; Mountain View Twin $368.01; Economy Quadruple, lakeside, 4 adults $654.33.</t>
  </si>
  <si>
    <t xml:space="preserve">Lodging, whole trip</t>
  </si>
  <si>
    <t xml:space="preserve">Room type</t>
  </si>
  <si>
    <t xml:space="preserve">People per room</t>
  </si>
  <si>
    <t xml:space="preserve">Lodging per person</t>
  </si>
  <si>
    <t xml:space="preserve">Other costs per person</t>
  </si>
  <si>
    <t xml:space="preserve">Your costs, per traveler</t>
  </si>
  <si>
    <t xml:space="preserve">Cost per person</t>
  </si>
  <si>
    <t xml:space="preserve">Price per person</t>
  </si>
  <si>
    <t xml:space="preserve">Profit per person</t>
  </si>
  <si>
    <t xml:space="preserve">Single</t>
  </si>
  <si>
    <t xml:space="preserve">Couple (shared double)</t>
  </si>
  <si>
    <t xml:space="preserve">Group of 4 (shared rooms)</t>
  </si>
  <si>
    <t xml:space="preserve">Party mix (sets the traveler count used for group costs)</t>
  </si>
  <si>
    <t xml:space="preserve">Singles</t>
  </si>
  <si>
    <t xml:space="preserve">Travelers (total)</t>
  </si>
  <si>
    <t xml:space="preserve">Couples</t>
  </si>
  <si>
    <t xml:space="preserve">Groups of 4</t>
  </si>
  <si>
    <t xml:space="preserve">Group revenue</t>
  </si>
  <si>
    <t xml:space="preserve">Group cost</t>
  </si>
  <si>
    <t xml:space="preserve">Group profit</t>
  </si>
  <si>
    <t xml:space="preserve">The microbus seats 13 to 15 with luggage, including you. The microbus and your own costs are split across the travelers above, so prices change when the mix changes.</t>
  </si>
  <si>
    <t xml:space="preserve">Example mixes for a group of 12</t>
  </si>
  <si>
    <t xml:space="preserve">Mix</t>
  </si>
  <si>
    <t xml:space="preserve">All couples</t>
  </si>
  <si>
    <t xml:space="preserve">Two singles, five couples</t>
  </si>
  <si>
    <t xml:space="preserve">Four singles, four couples</t>
  </si>
  <si>
    <t xml:space="preserve">Couples and one group of 4</t>
  </si>
  <si>
    <t xml:space="preserve">Two singles, three couples, one group of 4</t>
  </si>
  <si>
    <t xml:space="preserve">Three groups of 4</t>
  </si>
  <si>
    <t xml:space="preserve">Each row is 12 travelers, so the microbus and your own costs split the same way in every row.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</si>
</sst>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General"/>
    <numFmt numFmtId="167" formatCode="\$#,##0"/>
    <numFmt numFmtId="168" formatCode="\¥#,##0"/>
    <numFmt numFmtId="169" formatCode="\$#,##0.00"/>
    <numFmt numFmtId="170" formatCode="0.0%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158.19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f aca="false">'Room Pricing'!B21</f>
        <v>12</v>
      </c>
      <c r="C5" s="5" t="s">
        <v>5</v>
      </c>
    </row>
    <row r="6" customFormat="false" ht="15" hidden="false" customHeight="false" outlineLevel="0" collapsed="false">
      <c r="A6" s="3" t="s">
        <v>6</v>
      </c>
      <c r="B6" s="7" t="n">
        <f aca="false">ROUNDDOWN(B52+B8,-1)</f>
        <v>3220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2</v>
      </c>
      <c r="C7" s="5"/>
    </row>
    <row r="8" customFormat="false" ht="15" hidden="false" customHeight="false" outlineLevel="0" collapsed="false">
      <c r="A8" s="3" t="s">
        <v>9</v>
      </c>
      <c r="B8" s="8" t="n">
        <v>500</v>
      </c>
      <c r="C8" s="5" t="s">
        <v>10</v>
      </c>
    </row>
    <row r="9" customFormat="false" ht="15" hidden="false" customHeight="false" outlineLevel="0" collapsed="false">
      <c r="A9" s="3" t="s">
        <v>11</v>
      </c>
      <c r="B9" s="6" t="n">
        <v>1</v>
      </c>
      <c r="C9" s="5" t="s">
        <v>12</v>
      </c>
    </row>
    <row r="11" customFormat="false" ht="26.85" hidden="false" customHeight="false" outlineLevel="0" collapsed="false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  <c r="I11" s="9" t="s">
        <v>21</v>
      </c>
      <c r="J11" s="9" t="s">
        <v>22</v>
      </c>
    </row>
    <row r="12" customFormat="false" ht="15" hidden="false" customHeight="false" outlineLevel="0" collapsed="false">
      <c r="A12" s="10" t="s">
        <v>23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26.85" hidden="false" customHeight="false" outlineLevel="0" collapsed="false">
      <c r="A13" s="12" t="s">
        <v>23</v>
      </c>
      <c r="B13" s="12" t="s">
        <v>24</v>
      </c>
      <c r="C13" s="12" t="s">
        <v>25</v>
      </c>
      <c r="D13" s="13"/>
      <c r="E13" s="14" t="n">
        <v>288.86</v>
      </c>
      <c r="F13" s="15" t="n">
        <v>1</v>
      </c>
      <c r="G13" s="12" t="s">
        <v>26</v>
      </c>
      <c r="H13" s="16" t="n">
        <f aca="false">IF(E13="","",IF(G13="per room",E13*F13/$B$7,IF(G13="per group",E13*F13/$B$5,E13*F13)))</f>
        <v>144.43</v>
      </c>
      <c r="I13" s="12" t="s">
        <v>27</v>
      </c>
      <c r="J13" s="12" t="s">
        <v>28</v>
      </c>
    </row>
    <row r="14" customFormat="false" ht="52.2" hidden="false" customHeight="false" outlineLevel="0" collapsed="false">
      <c r="A14" s="12" t="s">
        <v>23</v>
      </c>
      <c r="B14" s="12" t="s">
        <v>29</v>
      </c>
      <c r="C14" s="12" t="s">
        <v>30</v>
      </c>
      <c r="D14" s="13" t="n">
        <v>20262</v>
      </c>
      <c r="E14" s="16" t="n">
        <f aca="false">IF(D14="","",D14/$B$4)</f>
        <v>128.086478285606</v>
      </c>
      <c r="F14" s="15" t="n">
        <v>1</v>
      </c>
      <c r="G14" s="12" t="s">
        <v>26</v>
      </c>
      <c r="H14" s="16" t="n">
        <f aca="false">IF(E14="","",IF(G14="per room",E14*F14/$B$7,IF(G14="per group",E14*F14/$B$5,E14*F14)))</f>
        <v>64.043239142803</v>
      </c>
      <c r="I14" s="12" t="s">
        <v>27</v>
      </c>
      <c r="J14" s="12" t="s">
        <v>31</v>
      </c>
    </row>
    <row r="15" customFormat="false" ht="64.9" hidden="false" customHeight="false" outlineLevel="0" collapsed="false">
      <c r="A15" s="12" t="s">
        <v>23</v>
      </c>
      <c r="B15" s="12" t="s">
        <v>32</v>
      </c>
      <c r="C15" s="12" t="s">
        <v>33</v>
      </c>
      <c r="D15" s="13" t="n">
        <v>59166</v>
      </c>
      <c r="E15" s="16" t="n">
        <f aca="false">IF(D15="","",D15/$B$4)</f>
        <v>374.018585245591</v>
      </c>
      <c r="F15" s="15" t="n">
        <v>5</v>
      </c>
      <c r="G15" s="12" t="s">
        <v>26</v>
      </c>
      <c r="H15" s="16" t="n">
        <f aca="false">IF(E15="","",IF(G15="per room",E15*F15/$B$7,IF(G15="per group",E15*F15/$B$5,E15*F15)))</f>
        <v>935.046463113977</v>
      </c>
      <c r="I15" s="12" t="s">
        <v>27</v>
      </c>
      <c r="J15" s="12" t="s">
        <v>34</v>
      </c>
    </row>
    <row r="16" customFormat="false" ht="39.55" hidden="false" customHeight="false" outlineLevel="0" collapsed="false">
      <c r="A16" s="12" t="s">
        <v>23</v>
      </c>
      <c r="B16" s="12" t="s">
        <v>35</v>
      </c>
      <c r="C16" s="12" t="s">
        <v>36</v>
      </c>
      <c r="D16" s="13"/>
      <c r="E16" s="14" t="n">
        <v>122.67</v>
      </c>
      <c r="F16" s="15" t="n">
        <v>3</v>
      </c>
      <c r="G16" s="12" t="s">
        <v>26</v>
      </c>
      <c r="H16" s="16" t="n">
        <f aca="false">IF(E16="","",IF(G16="per room",E16*F16/$B$7,IF(G16="per group",E16*F16/$B$5,E16*F16)))</f>
        <v>184.005</v>
      </c>
      <c r="I16" s="12" t="s">
        <v>37</v>
      </c>
      <c r="J16" s="12" t="s">
        <v>38</v>
      </c>
    </row>
    <row r="17" customFormat="false" ht="26.85" hidden="false" customHeight="false" outlineLevel="0" collapsed="false">
      <c r="A17" s="12" t="s">
        <v>23</v>
      </c>
      <c r="B17" s="12" t="s">
        <v>24</v>
      </c>
      <c r="C17" s="12" t="s">
        <v>39</v>
      </c>
      <c r="D17" s="13"/>
      <c r="E17" s="14" t="n">
        <v>288.86</v>
      </c>
      <c r="F17" s="15" t="n">
        <v>0</v>
      </c>
      <c r="G17" s="12" t="s">
        <v>26</v>
      </c>
      <c r="H17" s="16" t="n">
        <f aca="false">IF(E17="","",IF(G17="per room",E17*F17/$B$7,IF(G17="per group",E17*F17/$B$5,E17*F17)))</f>
        <v>0</v>
      </c>
      <c r="I17" s="12" t="s">
        <v>27</v>
      </c>
      <c r="J17" s="12" t="s">
        <v>40</v>
      </c>
    </row>
    <row r="18" customFormat="false" ht="15" hidden="false" customHeight="false" outlineLevel="0" collapsed="false">
      <c r="A18" s="10" t="s">
        <v>41</v>
      </c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26.85" hidden="false" customHeight="false" outlineLevel="0" collapsed="false">
      <c r="A19" s="12" t="s">
        <v>41</v>
      </c>
      <c r="B19" s="12" t="s">
        <v>42</v>
      </c>
      <c r="C19" s="12" t="s">
        <v>43</v>
      </c>
      <c r="D19" s="13" t="n">
        <v>15450</v>
      </c>
      <c r="E19" s="16" t="n">
        <f aca="false">IF(D19="","",D19/$B$4)</f>
        <v>97.6673620329983</v>
      </c>
      <c r="F19" s="15" t="n">
        <v>1</v>
      </c>
      <c r="G19" s="12" t="s">
        <v>44</v>
      </c>
      <c r="H19" s="16" t="n">
        <f aca="false">IF(E19="","",IF(G19="per room",E19*F19/$B$7,IF(G19="per group",E19*F19/$B$5,E19*F19)))</f>
        <v>97.6673620329983</v>
      </c>
      <c r="I19" s="12" t="s">
        <v>45</v>
      </c>
      <c r="J19" s="12" t="s">
        <v>46</v>
      </c>
    </row>
    <row r="20" customFormat="false" ht="39.55" hidden="false" customHeight="false" outlineLevel="0" collapsed="false">
      <c r="A20" s="12" t="s">
        <v>41</v>
      </c>
      <c r="B20" s="12" t="s">
        <v>47</v>
      </c>
      <c r="C20" s="12" t="s">
        <v>48</v>
      </c>
      <c r="D20" s="13" t="n">
        <v>40000</v>
      </c>
      <c r="E20" s="16" t="n">
        <f aca="false">IF(D20="","",D20/$B$4)</f>
        <v>252.860484227827</v>
      </c>
      <c r="F20" s="15" t="n">
        <v>1</v>
      </c>
      <c r="G20" s="12" t="s">
        <v>44</v>
      </c>
      <c r="H20" s="16" t="n">
        <f aca="false">IF(E20="","",IF(G20="per room",E20*F20/$B$7,IF(G20="per group",E20*F20/$B$5,E20*F20)))</f>
        <v>252.860484227827</v>
      </c>
      <c r="I20" s="12" t="s">
        <v>45</v>
      </c>
      <c r="J20" s="12" t="s">
        <v>49</v>
      </c>
    </row>
    <row r="21" customFormat="false" ht="39.55" hidden="false" customHeight="false" outlineLevel="0" collapsed="false">
      <c r="A21" s="12" t="s">
        <v>41</v>
      </c>
      <c r="B21" s="12" t="s">
        <v>50</v>
      </c>
      <c r="C21" s="12" t="s">
        <v>51</v>
      </c>
      <c r="D21" s="13" t="n">
        <v>0</v>
      </c>
      <c r="E21" s="16" t="n">
        <f aca="false">IF(D21="","",D21/$B$4)</f>
        <v>0</v>
      </c>
      <c r="F21" s="15" t="n">
        <v>1</v>
      </c>
      <c r="G21" s="12" t="s">
        <v>44</v>
      </c>
      <c r="H21" s="16" t="n">
        <f aca="false">IF(E21="","",IF(G21="per room",E21*F21/$B$7,IF(G21="per group",E21*F21/$B$5,E21*F21)))</f>
        <v>0</v>
      </c>
      <c r="I21" s="12" t="s">
        <v>45</v>
      </c>
      <c r="J21" s="12" t="s">
        <v>52</v>
      </c>
    </row>
    <row r="22" customFormat="false" ht="26.85" hidden="false" customHeight="false" outlineLevel="0" collapsed="false">
      <c r="A22" s="12" t="s">
        <v>41</v>
      </c>
      <c r="B22" s="12" t="s">
        <v>53</v>
      </c>
      <c r="C22" s="12" t="s">
        <v>54</v>
      </c>
      <c r="D22" s="13" t="n">
        <v>400</v>
      </c>
      <c r="E22" s="16" t="n">
        <f aca="false">IF(D22="","",D22/$B$4)</f>
        <v>2.52860484227827</v>
      </c>
      <c r="F22" s="15" t="n">
        <v>2</v>
      </c>
      <c r="G22" s="12" t="s">
        <v>44</v>
      </c>
      <c r="H22" s="16" t="n">
        <f aca="false">IF(E22="","",IF(G22="per room",E22*F22/$B$7,IF(G22="per group",E22*F22/$B$5,E22*F22)))</f>
        <v>5.05720968455655</v>
      </c>
      <c r="I22" s="12" t="s">
        <v>45</v>
      </c>
      <c r="J22" s="12" t="s">
        <v>55</v>
      </c>
    </row>
    <row r="23" customFormat="false" ht="52.2" hidden="false" customHeight="false" outlineLevel="0" collapsed="false">
      <c r="A23" s="12" t="s">
        <v>41</v>
      </c>
      <c r="B23" s="12" t="s">
        <v>56</v>
      </c>
      <c r="C23" s="12" t="s">
        <v>57</v>
      </c>
      <c r="D23" s="13" t="n">
        <v>145000</v>
      </c>
      <c r="E23" s="16" t="n">
        <f aca="false">IF(D23="","",D23/$B$4)</f>
        <v>916.619255325874</v>
      </c>
      <c r="F23" s="15" t="n">
        <v>1</v>
      </c>
      <c r="G23" s="12" t="s">
        <v>58</v>
      </c>
      <c r="H23" s="16" t="n">
        <f aca="false">IF(E23="","",IF(G23="per room",E23*F23/$B$7,IF(G23="per group",E23*F23/$B$5,E23*F23)))</f>
        <v>76.3849379438228</v>
      </c>
      <c r="I23" s="12" t="s">
        <v>27</v>
      </c>
      <c r="J23" s="12" t="s">
        <v>59</v>
      </c>
    </row>
    <row r="24" customFormat="false" ht="26.85" hidden="false" customHeight="false" outlineLevel="0" collapsed="false">
      <c r="A24" s="12" t="s">
        <v>41</v>
      </c>
      <c r="B24" s="12" t="s">
        <v>60</v>
      </c>
      <c r="C24" s="12" t="s">
        <v>61</v>
      </c>
      <c r="D24" s="13" t="n">
        <v>3100</v>
      </c>
      <c r="E24" s="16" t="n">
        <f aca="false">IF(D24="","",D24/$B$4)</f>
        <v>19.5966875276566</v>
      </c>
      <c r="F24" s="15" t="n">
        <v>1</v>
      </c>
      <c r="G24" s="12" t="s">
        <v>44</v>
      </c>
      <c r="H24" s="16" t="n">
        <f aca="false">IF(E24="","",IF(G24="per room",E24*F24/$B$7,IF(G24="per group",E24*F24/$B$5,E24*F24)))</f>
        <v>19.5966875276566</v>
      </c>
      <c r="I24" s="12" t="s">
        <v>45</v>
      </c>
      <c r="J24" s="12" t="s">
        <v>62</v>
      </c>
    </row>
    <row r="25" customFormat="false" ht="26.85" hidden="false" customHeight="false" outlineLevel="0" collapsed="false">
      <c r="A25" s="12" t="s">
        <v>41</v>
      </c>
      <c r="B25" s="12" t="s">
        <v>63</v>
      </c>
      <c r="C25" s="12" t="s">
        <v>61</v>
      </c>
      <c r="D25" s="13"/>
      <c r="E25" s="14" t="n">
        <v>105</v>
      </c>
      <c r="F25" s="15" t="n">
        <v>1</v>
      </c>
      <c r="G25" s="12" t="s">
        <v>44</v>
      </c>
      <c r="H25" s="16" t="n">
        <f aca="false">IF(E25="","",IF(G25="per room",E25*F25/$B$7,IF(G25="per group",E25*F25/$B$5,E25*F25)))</f>
        <v>105</v>
      </c>
      <c r="I25" s="12" t="s">
        <v>45</v>
      </c>
      <c r="J25" s="12" t="s">
        <v>64</v>
      </c>
    </row>
    <row r="26" customFormat="false" ht="26.85" hidden="false" customHeight="false" outlineLevel="0" collapsed="false">
      <c r="A26" s="12" t="s">
        <v>41</v>
      </c>
      <c r="B26" s="12" t="s">
        <v>65</v>
      </c>
      <c r="C26" s="12" t="s">
        <v>43</v>
      </c>
      <c r="D26" s="13" t="n">
        <v>3130</v>
      </c>
      <c r="E26" s="16" t="n">
        <f aca="false">IF(D26="","",D26/$B$4)</f>
        <v>19.7863328908275</v>
      </c>
      <c r="F26" s="15" t="n">
        <v>1</v>
      </c>
      <c r="G26" s="12" t="s">
        <v>44</v>
      </c>
      <c r="H26" s="16" t="n">
        <f aca="false">IF(E26="","",IF(G26="per room",E26*F26/$B$7,IF(G26="per group",E26*F26/$B$5,E26*F26)))</f>
        <v>19.7863328908275</v>
      </c>
      <c r="I26" s="12" t="s">
        <v>27</v>
      </c>
      <c r="J26" s="12" t="s">
        <v>66</v>
      </c>
    </row>
    <row r="27" customFormat="false" ht="15" hidden="false" customHeight="false" outlineLevel="0" collapsed="false">
      <c r="A27" s="12" t="s">
        <v>41</v>
      </c>
      <c r="B27" s="12" t="s">
        <v>67</v>
      </c>
      <c r="C27" s="12" t="s">
        <v>68</v>
      </c>
      <c r="D27" s="13" t="n">
        <v>1300</v>
      </c>
      <c r="E27" s="16" t="n">
        <f aca="false">IF(D27="","",D27/$B$4)</f>
        <v>8.21796573740439</v>
      </c>
      <c r="F27" s="15" t="n">
        <v>1</v>
      </c>
      <c r="G27" s="12" t="s">
        <v>44</v>
      </c>
      <c r="H27" s="16" t="n">
        <f aca="false">IF(E27="","",IF(G27="per room",E27*F27/$B$7,IF(G27="per group",E27*F27/$B$5,E27*F27)))</f>
        <v>8.21796573740439</v>
      </c>
      <c r="I27" s="12" t="s">
        <v>45</v>
      </c>
      <c r="J27" s="12" t="s">
        <v>69</v>
      </c>
    </row>
    <row r="28" customFormat="false" ht="26.85" hidden="false" customHeight="false" outlineLevel="0" collapsed="false">
      <c r="A28" s="12" t="s">
        <v>41</v>
      </c>
      <c r="B28" s="12" t="s">
        <v>70</v>
      </c>
      <c r="C28" s="12" t="s">
        <v>71</v>
      </c>
      <c r="D28" s="13" t="n">
        <v>310</v>
      </c>
      <c r="E28" s="16" t="n">
        <f aca="false">IF(D28="","",D28/$B$4)</f>
        <v>1.95966875276566</v>
      </c>
      <c r="F28" s="15" t="n">
        <v>2</v>
      </c>
      <c r="G28" s="12" t="s">
        <v>44</v>
      </c>
      <c r="H28" s="16" t="n">
        <f aca="false">IF(E28="","",IF(G28="per room",E28*F28/$B$7,IF(G28="per group",E28*F28/$B$5,E28*F28)))</f>
        <v>3.91933750553132</v>
      </c>
      <c r="I28" s="12" t="s">
        <v>45</v>
      </c>
      <c r="J28" s="12" t="s">
        <v>72</v>
      </c>
    </row>
    <row r="29" customFormat="false" ht="15" hidden="false" customHeight="false" outlineLevel="0" collapsed="false">
      <c r="A29" s="10" t="s">
        <v>73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26.85" hidden="false" customHeight="false" outlineLevel="0" collapsed="false">
      <c r="A30" s="12" t="s">
        <v>73</v>
      </c>
      <c r="B30" s="12" t="s">
        <v>74</v>
      </c>
      <c r="C30" s="12" t="s">
        <v>75</v>
      </c>
      <c r="D30" s="13" t="n">
        <v>9500</v>
      </c>
      <c r="E30" s="16" t="n">
        <f aca="false">IF(D30="","",D30/$B$4)</f>
        <v>60.054365004109</v>
      </c>
      <c r="F30" s="15" t="n">
        <v>1</v>
      </c>
      <c r="G30" s="12" t="s">
        <v>44</v>
      </c>
      <c r="H30" s="16" t="n">
        <f aca="false">IF(E30="","",IF(G30="per room",E30*F30/$B$7,IF(G30="per group",E30*F30/$B$5,E30*F30)))</f>
        <v>60.054365004109</v>
      </c>
      <c r="I30" s="12" t="s">
        <v>27</v>
      </c>
      <c r="J30" s="12" t="s">
        <v>76</v>
      </c>
    </row>
    <row r="31" customFormat="false" ht="15" hidden="false" customHeight="false" outlineLevel="0" collapsed="false">
      <c r="A31" s="12" t="s">
        <v>73</v>
      </c>
      <c r="B31" s="12" t="s">
        <v>77</v>
      </c>
      <c r="C31" s="12" t="s">
        <v>78</v>
      </c>
      <c r="D31" s="13" t="n">
        <v>4000</v>
      </c>
      <c r="E31" s="16" t="n">
        <f aca="false">IF(D31="","",D31/$B$4)</f>
        <v>25.2860484227827</v>
      </c>
      <c r="F31" s="15" t="n">
        <v>1</v>
      </c>
      <c r="G31" s="12" t="s">
        <v>44</v>
      </c>
      <c r="H31" s="16" t="n">
        <f aca="false">IF(E31="","",IF(G31="per room",E31*F31/$B$7,IF(G31="per group",E31*F31/$B$5,E31*F31)))</f>
        <v>25.2860484227827</v>
      </c>
      <c r="I31" s="12" t="s">
        <v>27</v>
      </c>
      <c r="J31" s="12" t="s">
        <v>79</v>
      </c>
    </row>
    <row r="32" customFormat="false" ht="15" hidden="false" customHeight="false" outlineLevel="0" collapsed="false">
      <c r="A32" s="10" t="s">
        <v>80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" hidden="false" customHeight="false" outlineLevel="0" collapsed="false">
      <c r="A33" s="12" t="s">
        <v>80</v>
      </c>
      <c r="B33" s="12" t="s">
        <v>81</v>
      </c>
      <c r="C33" s="12" t="s">
        <v>71</v>
      </c>
      <c r="D33" s="13" t="n">
        <v>620</v>
      </c>
      <c r="E33" s="16" t="n">
        <f aca="false">IF(D33="","",D33/$B$4)</f>
        <v>3.91933750553132</v>
      </c>
      <c r="F33" s="15" t="n">
        <v>1</v>
      </c>
      <c r="G33" s="12" t="s">
        <v>44</v>
      </c>
      <c r="H33" s="16" t="n">
        <f aca="false">IF(E33="","",IF(G33="per room",E33*F33/$B$7,IF(G33="per group",E33*F33/$B$5,E33*F33)))</f>
        <v>3.91933750553132</v>
      </c>
      <c r="I33" s="12" t="s">
        <v>45</v>
      </c>
      <c r="J33" s="12" t="s">
        <v>82</v>
      </c>
    </row>
    <row r="34" customFormat="false" ht="15" hidden="false" customHeight="false" outlineLevel="0" collapsed="false">
      <c r="A34" s="12" t="s">
        <v>80</v>
      </c>
      <c r="B34" s="12" t="s">
        <v>83</v>
      </c>
      <c r="C34" s="12" t="s">
        <v>71</v>
      </c>
      <c r="D34" s="13" t="n">
        <v>700</v>
      </c>
      <c r="E34" s="16" t="n">
        <f aca="false">IF(D34="","",D34/$B$4)</f>
        <v>4.42505847398698</v>
      </c>
      <c r="F34" s="15" t="n">
        <v>1</v>
      </c>
      <c r="G34" s="12" t="s">
        <v>44</v>
      </c>
      <c r="H34" s="16" t="n">
        <f aca="false">IF(E34="","",IF(G34="per room",E34*F34/$B$7,IF(G34="per group",E34*F34/$B$5,E34*F34)))</f>
        <v>4.42505847398698</v>
      </c>
      <c r="I34" s="12" t="s">
        <v>45</v>
      </c>
      <c r="J34" s="12" t="s">
        <v>84</v>
      </c>
    </row>
    <row r="35" customFormat="false" ht="15" hidden="false" customHeight="false" outlineLevel="0" collapsed="false">
      <c r="A35" s="12" t="s">
        <v>80</v>
      </c>
      <c r="B35" s="12" t="s">
        <v>85</v>
      </c>
      <c r="C35" s="12" t="s">
        <v>71</v>
      </c>
      <c r="D35" s="13" t="n">
        <v>410</v>
      </c>
      <c r="E35" s="16" t="n">
        <f aca="false">IF(D35="","",D35/$B$4)</f>
        <v>2.59181996333523</v>
      </c>
      <c r="F35" s="15" t="n">
        <v>1</v>
      </c>
      <c r="G35" s="12" t="s">
        <v>44</v>
      </c>
      <c r="H35" s="16" t="n">
        <f aca="false">IF(E35="","",IF(G35="per room",E35*F35/$B$7,IF(G35="per group",E35*F35/$B$5,E35*F35)))</f>
        <v>2.59181996333523</v>
      </c>
      <c r="I35" s="12" t="s">
        <v>45</v>
      </c>
      <c r="J35" s="12" t="s">
        <v>82</v>
      </c>
    </row>
    <row r="36" customFormat="false" ht="15" hidden="false" customHeight="false" outlineLevel="0" collapsed="false">
      <c r="A36" s="12" t="s">
        <v>80</v>
      </c>
      <c r="B36" s="12" t="s">
        <v>86</v>
      </c>
      <c r="C36" s="12" t="s">
        <v>51</v>
      </c>
      <c r="D36" s="13" t="n">
        <v>250</v>
      </c>
      <c r="E36" s="16" t="n">
        <f aca="false">IF(D36="","",D36/$B$4)</f>
        <v>1.58037802642392</v>
      </c>
      <c r="F36" s="15" t="n">
        <v>1</v>
      </c>
      <c r="G36" s="12" t="s">
        <v>44</v>
      </c>
      <c r="H36" s="16" t="n">
        <f aca="false">IF(E36="","",IF(G36="per room",E36*F36/$B$7,IF(G36="per group",E36*F36/$B$5,E36*F36)))</f>
        <v>1.58037802642392</v>
      </c>
      <c r="I36" s="12" t="s">
        <v>45</v>
      </c>
      <c r="J36" s="12" t="s">
        <v>87</v>
      </c>
    </row>
    <row r="37" customFormat="false" ht="26.85" hidden="false" customHeight="false" outlineLevel="0" collapsed="false">
      <c r="A37" s="12" t="s">
        <v>80</v>
      </c>
      <c r="B37" s="12" t="s">
        <v>88</v>
      </c>
      <c r="C37" s="12" t="s">
        <v>51</v>
      </c>
      <c r="D37" s="13" t="n">
        <v>1600</v>
      </c>
      <c r="E37" s="16" t="n">
        <f aca="false">IF(D37="","",D37/$B$4)</f>
        <v>10.1144193691131</v>
      </c>
      <c r="F37" s="15" t="n">
        <v>1</v>
      </c>
      <c r="G37" s="12" t="s">
        <v>44</v>
      </c>
      <c r="H37" s="16" t="n">
        <f aca="false">IF(E37="","",IF(G37="per room",E37*F37/$B$7,IF(G37="per group",E37*F37/$B$5,E37*F37)))</f>
        <v>10.1144193691131</v>
      </c>
      <c r="I37" s="12" t="s">
        <v>27</v>
      </c>
      <c r="J37" s="12" t="s">
        <v>89</v>
      </c>
    </row>
    <row r="38" customFormat="false" ht="15" hidden="false" customHeight="false" outlineLevel="0" collapsed="false">
      <c r="A38" s="12" t="s">
        <v>80</v>
      </c>
      <c r="B38" s="12" t="s">
        <v>90</v>
      </c>
      <c r="C38" s="12" t="s">
        <v>51</v>
      </c>
      <c r="D38" s="13" t="n">
        <v>650</v>
      </c>
      <c r="E38" s="16" t="n">
        <f aca="false">IF(D38="","",D38/$B$4)</f>
        <v>4.10898286870219</v>
      </c>
      <c r="F38" s="15" t="n">
        <v>1</v>
      </c>
      <c r="G38" s="12" t="s">
        <v>44</v>
      </c>
      <c r="H38" s="16" t="n">
        <f aca="false">IF(E38="","",IF(G38="per room",E38*F38/$B$7,IF(G38="per group",E38*F38/$B$5,E38*F38)))</f>
        <v>4.10898286870219</v>
      </c>
      <c r="I38" s="12" t="s">
        <v>45</v>
      </c>
      <c r="J38" s="12" t="s">
        <v>91</v>
      </c>
    </row>
    <row r="39" customFormat="false" ht="15" hidden="false" customHeight="false" outlineLevel="0" collapsed="false">
      <c r="A39" s="12" t="s">
        <v>80</v>
      </c>
      <c r="B39" s="12" t="s">
        <v>92</v>
      </c>
      <c r="C39" s="12" t="s">
        <v>93</v>
      </c>
      <c r="D39" s="13" t="n">
        <v>1600</v>
      </c>
      <c r="E39" s="16" t="n">
        <f aca="false">IF(D39="","",D39/$B$4)</f>
        <v>10.1144193691131</v>
      </c>
      <c r="F39" s="15" t="n">
        <v>1</v>
      </c>
      <c r="G39" s="12" t="s">
        <v>44</v>
      </c>
      <c r="H39" s="16" t="n">
        <f aca="false">IF(E39="","",IF(G39="per room",E39*F39/$B$7,IF(G39="per group",E39*F39/$B$5,E39*F39)))</f>
        <v>10.1144193691131</v>
      </c>
      <c r="I39" s="12" t="s">
        <v>45</v>
      </c>
      <c r="J39" s="12" t="s">
        <v>94</v>
      </c>
    </row>
    <row r="40" customFormat="false" ht="15" hidden="false" customHeight="false" outlineLevel="0" collapsed="false">
      <c r="A40" s="12" t="s">
        <v>80</v>
      </c>
      <c r="B40" s="12" t="s">
        <v>95</v>
      </c>
      <c r="C40" s="12" t="s">
        <v>57</v>
      </c>
      <c r="D40" s="13" t="n">
        <v>0</v>
      </c>
      <c r="E40" s="16" t="n">
        <f aca="false">IF(D40="","",D40/$B$4)</f>
        <v>0</v>
      </c>
      <c r="F40" s="15" t="n">
        <v>1</v>
      </c>
      <c r="G40" s="12" t="s">
        <v>44</v>
      </c>
      <c r="H40" s="16" t="n">
        <f aca="false">IF(E40="","",IF(G40="per room",E40*F40/$B$7,IF(G40="per group",E40*F40/$B$5,E40*F40)))</f>
        <v>0</v>
      </c>
      <c r="I40" s="12" t="s">
        <v>45</v>
      </c>
      <c r="J40" s="12" t="s">
        <v>96</v>
      </c>
    </row>
    <row r="41" customFormat="false" ht="26.85" hidden="false" customHeight="false" outlineLevel="0" collapsed="false">
      <c r="A41" s="12" t="s">
        <v>80</v>
      </c>
      <c r="B41" s="12" t="s">
        <v>97</v>
      </c>
      <c r="C41" s="12" t="s">
        <v>57</v>
      </c>
      <c r="D41" s="13" t="n">
        <v>3000</v>
      </c>
      <c r="E41" s="16" t="n">
        <f aca="false">IF(D41="","",D41/$B$4)</f>
        <v>18.9645363170871</v>
      </c>
      <c r="F41" s="15" t="n">
        <v>0</v>
      </c>
      <c r="G41" s="12" t="s">
        <v>44</v>
      </c>
      <c r="H41" s="16" t="n">
        <f aca="false">IF(E41="","",IF(G41="per room",E41*F41/$B$7,IF(G41="per group",E41*F41/$B$5,E41*F41)))</f>
        <v>0</v>
      </c>
      <c r="I41" s="12" t="s">
        <v>45</v>
      </c>
      <c r="J41" s="12" t="s">
        <v>98</v>
      </c>
    </row>
    <row r="42" customFormat="false" ht="15" hidden="false" customHeight="false" outlineLevel="0" collapsed="false">
      <c r="A42" s="10" t="s">
        <v>99</v>
      </c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5" hidden="false" customHeight="false" outlineLevel="0" collapsed="false">
      <c r="A43" s="12" t="s">
        <v>99</v>
      </c>
      <c r="B43" s="12" t="s">
        <v>100</v>
      </c>
      <c r="C43" s="12" t="s">
        <v>68</v>
      </c>
      <c r="D43" s="13" t="n">
        <v>14520</v>
      </c>
      <c r="E43" s="16" t="n">
        <f aca="false">IF(D43="","",D43/$B$4)</f>
        <v>91.7883557747013</v>
      </c>
      <c r="F43" s="15" t="n">
        <v>1</v>
      </c>
      <c r="G43" s="12" t="s">
        <v>44</v>
      </c>
      <c r="H43" s="16" t="n">
        <f aca="false">IF(E43="","",IF(G43="per room",E43*F43/$B$7,IF(G43="per group",E43*F43/$B$5,E43*F43)))</f>
        <v>91.7883557747013</v>
      </c>
      <c r="I43" s="12" t="s">
        <v>27</v>
      </c>
      <c r="J43" s="12" t="s">
        <v>101</v>
      </c>
    </row>
    <row r="44" customFormat="false" ht="15" hidden="false" customHeight="false" outlineLevel="0" collapsed="false">
      <c r="A44" s="12" t="s">
        <v>99</v>
      </c>
      <c r="B44" s="12" t="s">
        <v>102</v>
      </c>
      <c r="C44" s="12" t="s">
        <v>43</v>
      </c>
      <c r="D44" s="13" t="n">
        <v>4200</v>
      </c>
      <c r="E44" s="16" t="n">
        <f aca="false">IF(D44="","",D44/$B$4)</f>
        <v>26.5503508439219</v>
      </c>
      <c r="F44" s="15" t="n">
        <v>1</v>
      </c>
      <c r="G44" s="12" t="s">
        <v>44</v>
      </c>
      <c r="H44" s="16" t="n">
        <f aca="false">IF(E44="","",IF(G44="per room",E44*F44/$B$7,IF(G44="per group",E44*F44/$B$5,E44*F44)))</f>
        <v>26.5503508439219</v>
      </c>
      <c r="I44" s="12" t="s">
        <v>27</v>
      </c>
      <c r="J44" s="12" t="s">
        <v>103</v>
      </c>
    </row>
    <row r="45" customFormat="false" ht="15" hidden="false" customHeight="false" outlineLevel="0" collapsed="false">
      <c r="A45" s="12" t="s">
        <v>99</v>
      </c>
      <c r="B45" s="12" t="s">
        <v>104</v>
      </c>
      <c r="C45" s="12" t="s">
        <v>105</v>
      </c>
      <c r="D45" s="13" t="n">
        <v>1500</v>
      </c>
      <c r="E45" s="16" t="n">
        <f aca="false">IF(D45="","",D45/$B$4)</f>
        <v>9.48226815854352</v>
      </c>
      <c r="F45" s="15" t="n">
        <v>9</v>
      </c>
      <c r="G45" s="12" t="s">
        <v>44</v>
      </c>
      <c r="H45" s="16" t="n">
        <f aca="false">IF(E45="","",IF(G45="per room",E45*F45/$B$7,IF(G45="per group",E45*F45/$B$5,E45*F45)))</f>
        <v>85.3404134268917</v>
      </c>
      <c r="I45" s="12" t="s">
        <v>27</v>
      </c>
      <c r="J45" s="12" t="s">
        <v>106</v>
      </c>
    </row>
    <row r="46" customFormat="false" ht="26.85" hidden="false" customHeight="false" outlineLevel="0" collapsed="false">
      <c r="A46" s="12" t="s">
        <v>99</v>
      </c>
      <c r="B46" s="12" t="s">
        <v>107</v>
      </c>
      <c r="C46" s="12" t="s">
        <v>108</v>
      </c>
      <c r="D46" s="13" t="n">
        <v>2500</v>
      </c>
      <c r="E46" s="16" t="n">
        <f aca="false">IF(D46="","",D46/$B$4)</f>
        <v>15.8037802642392</v>
      </c>
      <c r="F46" s="15" t="n">
        <v>9</v>
      </c>
      <c r="G46" s="12" t="s">
        <v>44</v>
      </c>
      <c r="H46" s="16" t="n">
        <f aca="false">IF(E46="","",IF(G46="per room",E46*F46/$B$7,IF(G46="per group",E46*F46/$B$5,E46*F46)))</f>
        <v>142.234022378153</v>
      </c>
      <c r="I46" s="12" t="s">
        <v>27</v>
      </c>
      <c r="J46" s="12" t="s">
        <v>109</v>
      </c>
    </row>
    <row r="47" customFormat="false" ht="39.55" hidden="false" customHeight="false" outlineLevel="0" collapsed="false">
      <c r="A47" s="12" t="s">
        <v>99</v>
      </c>
      <c r="B47" s="12" t="s">
        <v>110</v>
      </c>
      <c r="C47" s="12" t="s">
        <v>111</v>
      </c>
      <c r="D47" s="13" t="n">
        <v>1000</v>
      </c>
      <c r="E47" s="16" t="n">
        <f aca="false">IF(D47="","",D47/$B$4)</f>
        <v>6.32151210569568</v>
      </c>
      <c r="F47" s="15" t="n">
        <v>10</v>
      </c>
      <c r="G47" s="12" t="s">
        <v>44</v>
      </c>
      <c r="H47" s="16" t="n">
        <f aca="false">IF(E47="","",IF(G47="per room",E47*F47/$B$7,IF(G47="per group",E47*F47/$B$5,E47*F47)))</f>
        <v>63.2151210569568</v>
      </c>
      <c r="I47" s="12" t="s">
        <v>27</v>
      </c>
      <c r="J47" s="12" t="s">
        <v>112</v>
      </c>
    </row>
    <row r="48" customFormat="false" ht="15" hidden="false" customHeight="false" outlineLevel="0" collapsed="false">
      <c r="A48" s="10" t="s">
        <v>113</v>
      </c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39.55" hidden="false" customHeight="false" outlineLevel="0" collapsed="false">
      <c r="A49" s="12" t="s">
        <v>113</v>
      </c>
      <c r="B49" s="12" t="s">
        <v>114</v>
      </c>
      <c r="C49" s="12" t="s">
        <v>115</v>
      </c>
      <c r="D49" s="12"/>
      <c r="E49" s="12"/>
      <c r="F49" s="12"/>
      <c r="G49" s="12" t="s">
        <v>116</v>
      </c>
      <c r="H49" s="16" t="n">
        <f aca="false">$B$9*('Room Pricing'!$C$9+SUMIFS(H12:H47,G12:G47,"per person"))/$B$5</f>
        <v>282.16982305034</v>
      </c>
      <c r="I49" s="12" t="s">
        <v>117</v>
      </c>
      <c r="J49" s="12" t="s">
        <v>118</v>
      </c>
    </row>
    <row r="51" customFormat="false" ht="15" hidden="false" customHeight="false" outlineLevel="0" collapsed="false">
      <c r="A51" s="17" t="s">
        <v>119</v>
      </c>
    </row>
    <row r="52" customFormat="false" ht="15" hidden="false" customHeight="false" outlineLevel="0" collapsed="false">
      <c r="A52" s="3" t="s">
        <v>120</v>
      </c>
      <c r="B52" s="18" t="n">
        <f aca="false">SUM(H12:H49)</f>
        <v>2729.50793534147</v>
      </c>
    </row>
    <row r="53" customFormat="false" ht="15" hidden="false" customHeight="false" outlineLevel="0" collapsed="false">
      <c r="A53" s="3" t="s">
        <v>121</v>
      </c>
      <c r="B53" s="18" t="n">
        <f aca="false">$B$6</f>
        <v>3220</v>
      </c>
    </row>
    <row r="54" customFormat="false" ht="15" hidden="false" customHeight="false" outlineLevel="0" collapsed="false">
      <c r="A54" s="19" t="s">
        <v>122</v>
      </c>
      <c r="B54" s="7" t="n">
        <f aca="false">B53-B52</f>
        <v>490.492064658533</v>
      </c>
    </row>
    <row r="55" customFormat="false" ht="15" hidden="false" customHeight="false" outlineLevel="0" collapsed="false">
      <c r="A55" s="19" t="s">
        <v>123</v>
      </c>
      <c r="B55" s="20" t="n">
        <f aca="false">IF(B53=0,0,B54/B53)</f>
        <v>0.152326728154824</v>
      </c>
    </row>
    <row r="56" customFormat="false" ht="15" hidden="false" customHeight="false" outlineLevel="0" collapsed="false">
      <c r="A56" s="3" t="s">
        <v>124</v>
      </c>
      <c r="B56" s="18" t="n">
        <f aca="false">B53*$B$5</f>
        <v>38640</v>
      </c>
    </row>
    <row r="57" customFormat="false" ht="15" hidden="false" customHeight="false" outlineLevel="0" collapsed="false">
      <c r="A57" s="3" t="s">
        <v>125</v>
      </c>
      <c r="B57" s="18" t="n">
        <f aca="false">B52*$B$5</f>
        <v>32754.0952240976</v>
      </c>
    </row>
    <row r="58" customFormat="false" ht="15" hidden="false" customHeight="false" outlineLevel="0" collapsed="false">
      <c r="A58" s="3" t="s">
        <v>126</v>
      </c>
      <c r="B58" s="18" t="n">
        <f aca="false">B56-B57</f>
        <v>5885.9047759024</v>
      </c>
    </row>
    <row r="59" customFormat="false" ht="15" hidden="false" customHeight="false" outlineLevel="0" collapsed="false">
      <c r="A59" s="3" t="s">
        <v>127</v>
      </c>
      <c r="B59" s="21" t="n">
        <f aca="false">COUNTIF(I12:I47,"MISSING")</f>
        <v>0</v>
      </c>
    </row>
    <row r="60" customFormat="false" ht="15" hidden="false" customHeight="false" outlineLevel="0" collapsed="false">
      <c r="A60" s="3" t="s">
        <v>128</v>
      </c>
      <c r="B60" s="18" t="n">
        <f aca="false">'Room Pricing'!G14-'Room Pricing'!G15</f>
        <v>1020</v>
      </c>
    </row>
    <row r="62" customFormat="false" ht="15" hidden="false" customHeight="false" outlineLevel="0" collapsed="false">
      <c r="A62" s="19" t="s">
        <v>129</v>
      </c>
    </row>
    <row r="63" customFormat="false" ht="15" hidden="false" customHeight="false" outlineLevel="0" collapsed="false">
      <c r="A63" s="3" t="s">
        <v>23</v>
      </c>
      <c r="B63" s="18" t="n">
        <f aca="false">SUMIFS(H12:H49,A12:A49,"Lodging")</f>
        <v>1327.52470225678</v>
      </c>
    </row>
    <row r="64" customFormat="false" ht="15" hidden="false" customHeight="false" outlineLevel="0" collapsed="false">
      <c r="A64" s="3" t="s">
        <v>41</v>
      </c>
      <c r="B64" s="18" t="n">
        <f aca="false">SUMIFS(H12:H49,A12:A49,"Transport")</f>
        <v>588.490317550625</v>
      </c>
    </row>
    <row r="65" customFormat="false" ht="15" hidden="false" customHeight="false" outlineLevel="0" collapsed="false">
      <c r="A65" s="3" t="s">
        <v>73</v>
      </c>
      <c r="B65" s="18" t="n">
        <f aca="false">SUMIFS(H12:H49,A12:A49,"Festivals")</f>
        <v>85.3404134268917</v>
      </c>
    </row>
    <row r="66" customFormat="false" ht="15" hidden="false" customHeight="false" outlineLevel="0" collapsed="false">
      <c r="A66" s="3" t="s">
        <v>80</v>
      </c>
      <c r="B66" s="18" t="n">
        <f aca="false">SUMIFS(H12:H49,A12:A49,"Admissions")</f>
        <v>36.8544155762058</v>
      </c>
    </row>
    <row r="67" customFormat="false" ht="15" hidden="false" customHeight="false" outlineLevel="0" collapsed="false">
      <c r="A67" s="3" t="s">
        <v>99</v>
      </c>
      <c r="B67" s="18" t="n">
        <f aca="false">SUMIFS(H12:H49,A12:A49,"Group meals")</f>
        <v>409.128263480625</v>
      </c>
    </row>
    <row r="68" customFormat="false" ht="15" hidden="false" customHeight="false" outlineLevel="0" collapsed="false">
      <c r="A68" s="3" t="s">
        <v>113</v>
      </c>
      <c r="B68" s="18" t="n">
        <f aca="false">SUMIFS(H12:H49,A12:A49,"Leader")</f>
        <v>282.16982305034</v>
      </c>
    </row>
    <row r="70" customFormat="false" ht="15" hidden="false" customHeight="false" outlineLevel="0" collapsed="false">
      <c r="A70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6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6.85" hidden="false" customHeight="false" outlineLevel="0" collapsed="false">
      <c r="A4" s="22" t="s">
        <v>133</v>
      </c>
      <c r="B4" s="22" t="s">
        <v>134</v>
      </c>
      <c r="C4" s="22" t="s">
        <v>135</v>
      </c>
      <c r="D4" s="22" t="s">
        <v>136</v>
      </c>
      <c r="E4" s="22" t="s">
        <v>137</v>
      </c>
      <c r="F4" s="22" t="s">
        <v>138</v>
      </c>
    </row>
    <row r="5" customFormat="false" ht="45" hidden="false" customHeight="true" outlineLevel="0" collapsed="false">
      <c r="A5" s="3" t="s">
        <v>139</v>
      </c>
      <c r="B5" s="3" t="n">
        <v>1</v>
      </c>
      <c r="C5" s="23" t="n">
        <v>189</v>
      </c>
      <c r="D5" s="24" t="n">
        <f aca="false">'Tour Cost'!E13*'Tour Cost'!F13</f>
        <v>288.86</v>
      </c>
      <c r="E5" s="24" t="n">
        <f aca="false">2*D5</f>
        <v>577.72</v>
      </c>
      <c r="F5" s="25" t="s">
        <v>140</v>
      </c>
    </row>
    <row r="6" customFormat="false" ht="45" hidden="false" customHeight="true" outlineLevel="0" collapsed="false">
      <c r="A6" s="3" t="s">
        <v>141</v>
      </c>
      <c r="B6" s="3" t="n">
        <v>1</v>
      </c>
      <c r="C6" s="24" t="n">
        <f aca="false">'Tour Cost'!E14*'Tour Cost'!F14</f>
        <v>128.086478285606</v>
      </c>
      <c r="D6" s="24" t="n">
        <f aca="false">'Tour Cost'!E14*'Tour Cost'!F14</f>
        <v>128.086478285606</v>
      </c>
      <c r="E6" s="24" t="n">
        <f aca="false">2*D6</f>
        <v>256.172956571212</v>
      </c>
      <c r="F6" s="25" t="s">
        <v>142</v>
      </c>
    </row>
    <row r="7" customFormat="false" ht="45" hidden="false" customHeight="true" outlineLevel="0" collapsed="false">
      <c r="A7" s="3" t="s">
        <v>143</v>
      </c>
      <c r="B7" s="3" t="n">
        <v>5</v>
      </c>
      <c r="C7" s="24" t="n">
        <f aca="false">'Tour Cost'!E15*'Tour Cost'!F15</f>
        <v>1870.09292622795</v>
      </c>
      <c r="D7" s="24" t="n">
        <f aca="false">'Tour Cost'!E15*'Tour Cost'!F15</f>
        <v>1870.09292622795</v>
      </c>
      <c r="E7" s="24" t="n">
        <f aca="false">2*D7</f>
        <v>3740.18585245591</v>
      </c>
      <c r="F7" s="25" t="s">
        <v>144</v>
      </c>
    </row>
    <row r="8" customFormat="false" ht="45" hidden="false" customHeight="true" outlineLevel="0" collapsed="false">
      <c r="A8" s="3" t="s">
        <v>145</v>
      </c>
      <c r="B8" s="3" t="n">
        <v>3</v>
      </c>
      <c r="C8" s="23" t="n">
        <v>155.43</v>
      </c>
      <c r="D8" s="24" t="n">
        <f aca="false">'Tour Cost'!E16*'Tour Cost'!F16</f>
        <v>368.01</v>
      </c>
      <c r="E8" s="23" t="n">
        <v>654.33</v>
      </c>
      <c r="F8" s="25" t="s">
        <v>146</v>
      </c>
    </row>
    <row r="9" customFormat="false" ht="15" hidden="false" customHeight="false" outlineLevel="0" collapsed="false">
      <c r="A9" s="19" t="s">
        <v>147</v>
      </c>
      <c r="C9" s="26" t="n">
        <f aca="false">SUM(C5:C8)</f>
        <v>2342.60940451356</v>
      </c>
      <c r="D9" s="26" t="n">
        <f aca="false">SUM(D5:D8)</f>
        <v>2655.04940451356</v>
      </c>
      <c r="E9" s="26" t="n">
        <f aca="false">SUM(E5:E8)</f>
        <v>5228.40880902712</v>
      </c>
    </row>
    <row r="13" customFormat="false" ht="26.85" hidden="false" customHeight="false" outlineLevel="0" collapsed="false">
      <c r="A13" s="22" t="s">
        <v>148</v>
      </c>
      <c r="B13" s="22" t="s">
        <v>149</v>
      </c>
      <c r="C13" s="22" t="s">
        <v>150</v>
      </c>
      <c r="D13" s="22" t="s">
        <v>151</v>
      </c>
      <c r="E13" s="22" t="s">
        <v>152</v>
      </c>
      <c r="F13" s="22" t="s">
        <v>153</v>
      </c>
      <c r="G13" s="22" t="s">
        <v>154</v>
      </c>
      <c r="H13" s="22" t="s">
        <v>155</v>
      </c>
    </row>
    <row r="14" customFormat="false" ht="15" hidden="false" customHeight="false" outlineLevel="0" collapsed="false">
      <c r="A14" s="3" t="s">
        <v>156</v>
      </c>
      <c r="B14" s="3" t="n">
        <v>1</v>
      </c>
      <c r="C14" s="18" t="n">
        <f aca="false">C9</f>
        <v>2342.60940451356</v>
      </c>
      <c r="D14" s="18" t="n">
        <f aca="false">SUMIFS('Tour Cost'!H12:H47,'Tour Cost'!G12:G47,"per person")+SUMIFS('Tour Cost'!H12:H47,'Tour Cost'!G12:G47,"per group")</f>
        <v>1119.81341003435</v>
      </c>
      <c r="E14" s="18" t="n">
        <f aca="false">'Tour Cost'!H49</f>
        <v>282.16982305034</v>
      </c>
      <c r="F14" s="18" t="n">
        <f aca="false">C14+D14+E14</f>
        <v>3744.59263759825</v>
      </c>
      <c r="G14" s="7" t="n">
        <f aca="false">ROUNDDOWN(F14+'Tour Cost'!B8,-1)</f>
        <v>4240</v>
      </c>
      <c r="H14" s="18" t="n">
        <f aca="false">G14-F14</f>
        <v>495.407362401753</v>
      </c>
    </row>
    <row r="15" customFormat="false" ht="15" hidden="false" customHeight="false" outlineLevel="0" collapsed="false">
      <c r="A15" s="3" t="s">
        <v>157</v>
      </c>
      <c r="B15" s="3" t="n">
        <v>2</v>
      </c>
      <c r="C15" s="18" t="n">
        <f aca="false">D9/2</f>
        <v>1327.52470225678</v>
      </c>
      <c r="D15" s="18" t="n">
        <f aca="false">SUMIFS('Tour Cost'!H12:H47,'Tour Cost'!G12:G47,"per person")+SUMIFS('Tour Cost'!H12:H47,'Tour Cost'!G12:G47,"per group")</f>
        <v>1119.81341003435</v>
      </c>
      <c r="E15" s="18" t="n">
        <f aca="false">'Tour Cost'!H49</f>
        <v>282.16982305034</v>
      </c>
      <c r="F15" s="18" t="n">
        <f aca="false">C15+D15+E15</f>
        <v>2729.50793534147</v>
      </c>
      <c r="G15" s="7" t="n">
        <f aca="false">ROUNDDOWN(F15+'Tour Cost'!B8,-1)</f>
        <v>3220</v>
      </c>
      <c r="H15" s="18" t="n">
        <f aca="false">G15-F15</f>
        <v>490.492064658533</v>
      </c>
    </row>
    <row r="16" customFormat="false" ht="15" hidden="false" customHeight="false" outlineLevel="0" collapsed="false">
      <c r="A16" s="3" t="s">
        <v>158</v>
      </c>
      <c r="B16" s="3" t="n">
        <v>4</v>
      </c>
      <c r="C16" s="18" t="n">
        <f aca="false">E9/4</f>
        <v>1307.10220225678</v>
      </c>
      <c r="D16" s="18" t="n">
        <f aca="false">SUMIFS('Tour Cost'!H12:H47,'Tour Cost'!G12:G47,"per person")+SUMIFS('Tour Cost'!H12:H47,'Tour Cost'!G12:G47,"per group")</f>
        <v>1119.81341003435</v>
      </c>
      <c r="E16" s="18" t="n">
        <f aca="false">'Tour Cost'!H49</f>
        <v>282.16982305034</v>
      </c>
      <c r="F16" s="18" t="n">
        <f aca="false">C16+D16+E16</f>
        <v>2709.08543534147</v>
      </c>
      <c r="G16" s="7" t="n">
        <f aca="false">ROUNDDOWN(F16+'Tour Cost'!B8,-1)</f>
        <v>3200</v>
      </c>
      <c r="H16" s="18" t="n">
        <f aca="false">G16-F16</f>
        <v>490.914564658533</v>
      </c>
    </row>
    <row r="19" customFormat="false" ht="15" hidden="false" customHeight="false" outlineLevel="0" collapsed="false">
      <c r="A19" s="17" t="s">
        <v>159</v>
      </c>
    </row>
    <row r="20" customFormat="false" ht="15" hidden="false" customHeight="false" outlineLevel="0" collapsed="false">
      <c r="A20" s="3" t="s">
        <v>160</v>
      </c>
      <c r="B20" s="6" t="n">
        <v>0</v>
      </c>
    </row>
    <row r="21" customFormat="false" ht="15" hidden="false" customHeight="false" outlineLevel="0" collapsed="false">
      <c r="A21" s="3" t="s">
        <v>161</v>
      </c>
      <c r="B21" s="3" t="n">
        <f aca="false">B20+2*B22+4*B23</f>
        <v>12</v>
      </c>
    </row>
    <row r="22" customFormat="false" ht="15" hidden="false" customHeight="false" outlineLevel="0" collapsed="false">
      <c r="A22" s="3" t="s">
        <v>162</v>
      </c>
      <c r="B22" s="6" t="n">
        <v>6</v>
      </c>
    </row>
    <row r="23" customFormat="false" ht="15" hidden="false" customHeight="false" outlineLevel="0" collapsed="false">
      <c r="A23" s="3" t="s">
        <v>163</v>
      </c>
      <c r="B23" s="6" t="n">
        <v>0</v>
      </c>
    </row>
    <row r="24" customFormat="false" ht="15" hidden="false" customHeight="false" outlineLevel="0" collapsed="false">
      <c r="A24" s="0" t="s">
        <v>164</v>
      </c>
      <c r="B24" s="18" t="n">
        <f aca="false">B20*G14+2*B22*G15+4*B23*G16</f>
        <v>38640</v>
      </c>
    </row>
    <row r="25" customFormat="false" ht="15" hidden="false" customHeight="false" outlineLevel="0" collapsed="false">
      <c r="A25" s="0" t="s">
        <v>165</v>
      </c>
      <c r="B25" s="18" t="n">
        <f aca="false">B20*F14+2*B22*F15+4*B23*F16</f>
        <v>32754.0952240976</v>
      </c>
    </row>
    <row r="26" customFormat="false" ht="15" hidden="false" customHeight="false" outlineLevel="0" collapsed="false">
      <c r="A26" s="19" t="s">
        <v>166</v>
      </c>
      <c r="B26" s="7" t="n">
        <f aca="false">B24-B25</f>
        <v>5885.9047759024</v>
      </c>
    </row>
    <row r="27" customFormat="false" ht="15" hidden="false" customHeight="false" outlineLevel="0" collapsed="false">
      <c r="A27" s="2" t="s">
        <v>167</v>
      </c>
    </row>
    <row r="29" customFormat="false" ht="15" hidden="false" customHeight="false" outlineLevel="0" collapsed="false">
      <c r="A29" s="17" t="s">
        <v>168</v>
      </c>
    </row>
    <row r="30" customFormat="false" ht="15" hidden="false" customHeight="false" outlineLevel="0" collapsed="false">
      <c r="A30" s="27" t="s">
        <v>169</v>
      </c>
      <c r="B30" s="27" t="s">
        <v>160</v>
      </c>
      <c r="C30" s="27" t="s">
        <v>162</v>
      </c>
      <c r="D30" s="27" t="s">
        <v>163</v>
      </c>
      <c r="E30" s="27" t="s">
        <v>164</v>
      </c>
      <c r="F30" s="27" t="s">
        <v>165</v>
      </c>
      <c r="G30" s="27" t="s">
        <v>166</v>
      </c>
    </row>
    <row r="31" customFormat="false" ht="15" hidden="false" customHeight="false" outlineLevel="0" collapsed="false">
      <c r="A31" s="3" t="s">
        <v>170</v>
      </c>
      <c r="B31" s="3" t="n">
        <v>0</v>
      </c>
      <c r="C31" s="3" t="n">
        <v>6</v>
      </c>
      <c r="D31" s="3" t="n">
        <v>0</v>
      </c>
      <c r="E31" s="18" t="n">
        <f aca="false">B31*$G$14+2*C31*$G$15+4*D31*$G$16</f>
        <v>38640</v>
      </c>
      <c r="F31" s="18" t="n">
        <f aca="false">B31*$F$14+2*C31*$F$15+4*D31*$F$16</f>
        <v>32754.0952240976</v>
      </c>
      <c r="G31" s="18" t="n">
        <f aca="false">E31-F31</f>
        <v>5885.9047759024</v>
      </c>
    </row>
    <row r="32" customFormat="false" ht="15" hidden="false" customHeight="false" outlineLevel="0" collapsed="false">
      <c r="A32" s="3" t="s">
        <v>171</v>
      </c>
      <c r="B32" s="3" t="n">
        <v>2</v>
      </c>
      <c r="C32" s="3" t="n">
        <v>5</v>
      </c>
      <c r="D32" s="3" t="n">
        <v>0</v>
      </c>
      <c r="E32" s="18" t="n">
        <f aca="false">B32*$G$14+2*C32*$G$15+4*D32*$G$16</f>
        <v>40680</v>
      </c>
      <c r="F32" s="18" t="n">
        <f aca="false">B32*$F$14+2*C32*$F$15+4*D32*$F$16</f>
        <v>34784.2646286112</v>
      </c>
      <c r="G32" s="18" t="n">
        <f aca="false">E32-F32</f>
        <v>5895.73537138884</v>
      </c>
    </row>
    <row r="33" customFormat="false" ht="15" hidden="false" customHeight="false" outlineLevel="0" collapsed="false">
      <c r="A33" s="3" t="s">
        <v>172</v>
      </c>
      <c r="B33" s="3" t="n">
        <v>4</v>
      </c>
      <c r="C33" s="3" t="n">
        <v>4</v>
      </c>
      <c r="D33" s="3" t="n">
        <v>0</v>
      </c>
      <c r="E33" s="18" t="n">
        <f aca="false">B33*$G$14+2*C33*$G$15+4*D33*$G$16</f>
        <v>42720</v>
      </c>
      <c r="F33" s="18" t="n">
        <f aca="false">B33*$F$14+2*C33*$F$15+4*D33*$F$16</f>
        <v>36814.4340331247</v>
      </c>
      <c r="G33" s="18" t="n">
        <f aca="false">E33-F33</f>
        <v>5905.56596687528</v>
      </c>
    </row>
    <row r="34" customFormat="false" ht="15" hidden="false" customHeight="false" outlineLevel="0" collapsed="false">
      <c r="A34" s="3" t="s">
        <v>173</v>
      </c>
      <c r="B34" s="3" t="n">
        <v>0</v>
      </c>
      <c r="C34" s="3" t="n">
        <v>4</v>
      </c>
      <c r="D34" s="3" t="n">
        <v>1</v>
      </c>
      <c r="E34" s="18" t="n">
        <f aca="false">B34*$G$14+2*C34*$G$15+4*D34*$G$16</f>
        <v>38560</v>
      </c>
      <c r="F34" s="18" t="n">
        <f aca="false">B34*$F$14+2*C34*$F$15+4*D34*$F$16</f>
        <v>32672.4052240976</v>
      </c>
      <c r="G34" s="18" t="n">
        <f aca="false">E34-F34</f>
        <v>5887.5947759024</v>
      </c>
    </row>
    <row r="35" customFormat="false" ht="15" hidden="false" customHeight="false" outlineLevel="0" collapsed="false">
      <c r="A35" s="3" t="s">
        <v>174</v>
      </c>
      <c r="B35" s="3" t="n">
        <v>2</v>
      </c>
      <c r="C35" s="3" t="n">
        <v>3</v>
      </c>
      <c r="D35" s="3" t="n">
        <v>1</v>
      </c>
      <c r="E35" s="18" t="n">
        <f aca="false">B35*$G$14+2*C35*$G$15+4*D35*$G$16</f>
        <v>40600</v>
      </c>
      <c r="F35" s="18" t="n">
        <f aca="false">B35*$F$14+2*C35*$F$15+4*D35*$F$16</f>
        <v>34702.5746286112</v>
      </c>
      <c r="G35" s="18" t="n">
        <f aca="false">E35-F35</f>
        <v>5897.42537138883</v>
      </c>
    </row>
    <row r="36" customFormat="false" ht="15" hidden="false" customHeight="false" outlineLevel="0" collapsed="false">
      <c r="A36" s="3" t="s">
        <v>175</v>
      </c>
      <c r="B36" s="3" t="n">
        <v>0</v>
      </c>
      <c r="C36" s="3" t="n">
        <v>0</v>
      </c>
      <c r="D36" s="3" t="n">
        <v>3</v>
      </c>
      <c r="E36" s="18" t="n">
        <f aca="false">B36*$G$14+2*C36*$G$15+4*D36*$G$16</f>
        <v>38400</v>
      </c>
      <c r="F36" s="18" t="n">
        <f aca="false">B36*$F$14+2*C36*$F$15+4*D36*$F$16</f>
        <v>32509.0252240976</v>
      </c>
      <c r="G36" s="18" t="n">
        <f aca="false">E36-F36</f>
        <v>5890.9747759024</v>
      </c>
    </row>
    <row r="38" customFormat="false" ht="15" hidden="false" customHeight="false" outlineLevel="0" collapsed="false">
      <c r="A38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2026-10-13T15:57:20Z</dcterms:created>
  <dc:creator>openpyxl</dc:creator>
  <dc:description/>
  <dc:language>en-US</dc:language>
  <cp:lastModifiedBy/>
  <dcterms:modified xsi:type="dcterms:W3CDTF">2026-10-13T15:57:20Z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