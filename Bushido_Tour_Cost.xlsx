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ur Cost" sheetId="1" state="visible" r:id="rId3"/>
    <sheet name="Room Pricing" sheetId="2" state="visible" r:id="rId4"/>
    <sheet name="Stay Tier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<sst xmlns="http://schemas.openxmlformats.org/spreadsheetml/2006/main" count="388" uniqueCount="220">
  <si>
    <t xml:space="preserve">Bushido: the Way of the Warrior : Cost and Margin</t>
  </si>
  <si>
    <t xml:space="preserve">Blue = input you can change. Fora comparable = Fora portal rate for sample dates (trip is undated; sample run Mar 8 to 20, 2027). Yellow = missing price, fill in column D (yen) or E (dollars). Days follow the Bushido trip page.</t>
  </si>
  <si>
    <t xml:space="preserve">Exchange rate (yen per dollar)</t>
  </si>
  <si>
    <t xml:space="preserve">xe.com mid-market, Oct 13 2026</t>
  </si>
  <si>
    <t xml:space="preserve">Travelers</t>
  </si>
  <si>
    <t xml:space="preserve">From the party mix on the Room Pricing sheet</t>
  </si>
  <si>
    <t xml:space="preserve">Price per person, sharing a double ($)</t>
  </si>
  <si>
    <t xml:space="preserve">Formula: cost plus profit cap, rounded down to $10. Singles and groups of 4: Room Pricing sheet</t>
  </si>
  <si>
    <t xml:space="preserve">People per room (double occupancy)</t>
  </si>
  <si>
    <t xml:space="preserve">Profit cap per traveler ($)</t>
  </si>
  <si>
    <t xml:space="preserve">Maximum profit per person</t>
  </si>
  <si>
    <t xml:space="preserve">Leader costs in price (1 = yes, 0 = no)</t>
  </si>
  <si>
    <t xml:space="preserve">Your own room, rail, meals etc. split across travelers</t>
  </si>
  <si>
    <t xml:space="preserve">Category</t>
  </si>
  <si>
    <t xml:space="preserve">Item</t>
  </si>
  <si>
    <t xml:space="preserve">Dates</t>
  </si>
  <si>
    <t xml:space="preserve">Unit cost (¥)</t>
  </si>
  <si>
    <t xml:space="preserve">Unit cost ($)</t>
  </si>
  <si>
    <t xml:space="preserve">Qty</t>
  </si>
  <si>
    <t xml:space="preserve">Basis</t>
  </si>
  <si>
    <t xml:space="preserve">Cost per traveler ($)</t>
  </si>
  <si>
    <t xml:space="preserve">Status</t>
  </si>
  <si>
    <t xml:space="preserve">Source / note</t>
  </si>
  <si>
    <t xml:space="preserve">Lodging</t>
  </si>
  <si>
    <t xml:space="preserve">Tokyo: Ryogoku View Hotel (Sumida)</t>
  </si>
  <si>
    <t xml:space="preserve">Days 1 to 3 (3 nights)</t>
  </si>
  <si>
    <t xml:space="preserve">per room</t>
  </si>
  <si>
    <t xml:space="preserve">Fora comparable</t>
  </si>
  <si>
    <t xml:space="preserve">Fora portal list total, Mon Mar 8 to Thu Mar 11, 2027, 2 adults 1 room: $315 for 3 nights. 1 adult $230; 4 adults 1 room $579. Standard tier; see Stay Tiers.</t>
  </si>
  <si>
    <t xml:space="preserve">Kyoto: Miyako City Kintetsu Kyoto Station</t>
  </si>
  <si>
    <t xml:space="preserve">Days 4 to 7 (4 nights)</t>
  </si>
  <si>
    <t xml:space="preserve">Fora portal list total, Thu Mar 11 to Mon Mar 15, 2027: $324 for 4 nights, 1 or 2 adults. For 3 nights a 4-adult room was $835, more than 2 doubles, so a group of 4 takes 2 doubles. Day 7 calligraphy in Osaka is a day trip from Kyoto.</t>
  </si>
  <si>
    <t xml:space="preserve">Koyasan: Shukubo Ekoin (temple lodging)</t>
  </si>
  <si>
    <t xml:space="preserve">Day 8 (1 night)</t>
  </si>
  <si>
    <t xml:space="preserve">Fora portal list total, Mon Jan 18 to Tue Jan 19, 2027 (no Koyasan temple shows rates for March): 1 or 2 adults $254; 4 adults 1 room $485. Ekoin stays include a vegetarian shojin ryori dinner and breakfast (walkintoluxury.com Ekoin listing; japan-guide: Koyasan shukubo rates include dinner and breakfast).</t>
  </si>
  <si>
    <t xml:space="preserve">Chikatsuyu: Minshuku Chikatsuyu, Main House, dinner, breakfast and lunch box</t>
  </si>
  <si>
    <t xml:space="preserve">Days 9 and 10 (2 nights)</t>
  </si>
  <si>
    <t xml:space="preserve">Quote</t>
  </si>
  <si>
    <t xml:space="preserve">kumano-tour-creation.com: ¥16,200 per person sharing, ¥18,400 single, onsen tax included. One minshuku may not hold 13; the Annex has only 2 rooms. Expect to split the group across village minshuku.</t>
  </si>
  <si>
    <t xml:space="preserve">Shingu: Hotel New Palace</t>
  </si>
  <si>
    <t xml:space="preserve">Day 11 (1 night)</t>
  </si>
  <si>
    <t xml:space="preserve">Fora portal list total, Thu Mar 18 to Fri Mar 19, 2027: 1 or 2 adults $104; no 4-adult rate.</t>
  </si>
  <si>
    <t xml:space="preserve">Tokyo final night: Ryogoku View Hotel</t>
  </si>
  <si>
    <t xml:space="preserve">Day 12 (1 night)</t>
  </si>
  <si>
    <t xml:space="preserve">Estimate</t>
  </si>
  <si>
    <t xml:space="preserve">The trip page says Day 12 ends with a final night in Tokyo. One night at the Days 1 to 3 Fora rate. Set Qty to 0 if the trip ends on arrival.</t>
  </si>
  <si>
    <t xml:space="preserve">Transport</t>
  </si>
  <si>
    <t xml:space="preserve">Tokaido Shinkansen Tokyo to Kyoto (Nozomi, reserved)</t>
  </si>
  <si>
    <t xml:space="preserve">Day 4</t>
  </si>
  <si>
    <t xml:space="preserve">per person</t>
  </si>
  <si>
    <t xml:space="preserve">shinkansen.tabiris.com, normal season. JR group discount (8 or more) takes 10% or 15% off the base fare only; not applied here.</t>
  </si>
  <si>
    <t xml:space="preserve">Kyoto Subway and Bus 1-Day Pass</t>
  </si>
  <si>
    <t xml:space="preserve">Days 4 to 6</t>
  </si>
  <si>
    <t xml:space="preserve">Kyoto City press release, Mar 2026. Fushimi Inari, Ryoan-ji, Arashiyama, Gion.</t>
  </si>
  <si>
    <t xml:space="preserve">JR Kyoto to Osaka and back for the calligraphy class (Shigino, Joto-ku)</t>
  </si>
  <si>
    <t xml:space="preserve">Day 7</t>
  </si>
  <si>
    <t xml:space="preserve">Kyoto to Shigino fare not found. JR Kyoto to Shin-Imamiya, farther across Osaka, is ¥960 (Ekitan), used as the upper bound each way. Kyoto to Osaka alone is ¥580.</t>
  </si>
  <si>
    <t xml:space="preserve">JR Kyoto to Shin-Imamiya, change to the Nankai Koya Line</t>
  </si>
  <si>
    <t xml:space="preserve">Day 8</t>
  </si>
  <si>
    <t xml:space="preserve">Ekitan, Kyoto to Shin-Imamiya via Osaka, ¥960</t>
  </si>
  <si>
    <t xml:space="preserve">Nankai Shin-Imamiya to Koyasan: limited express Koya, cable car, Koyasan bus</t>
  </si>
  <si>
    <t xml:space="preserve">Fares quoted from Namba, one stop before Shin-Imamiya. Sum of published parts: base fare incl. cable car ¥1,430 (Nankai), limited express charge ¥1,100 (Nankai), bus to Senjuinbashi ¥460 (japan-guide)</t>
  </si>
  <si>
    <t xml:space="preserve">Koyasan to Osaka: bus, cable car, Nankai (no limited express)</t>
  </si>
  <si>
    <t xml:space="preserve">Day 9</t>
  </si>
  <si>
    <t xml:space="preserve">¥1,430 Nankai fare plus ¥460 bus</t>
  </si>
  <si>
    <t xml:space="preserve">JR Limited Express Kuroshio Tennoji to Kii-Tanabe (reserved)</t>
  </si>
  <si>
    <t xml:space="preserve">jr-group.jp, normal season, Oct 2026</t>
  </si>
  <si>
    <t xml:space="preserve">Ryujin Bus Kumano Hongu Line 4-day pass</t>
  </si>
  <si>
    <t xml:space="preserve">Days 9 to 11</t>
  </si>
  <si>
    <t xml:space="preserve">ryujinbus.com: Kii-Tanabe, Takijiri, Hongu, Hosshinmon-oji (routes 80/81/84/85). Single fares to Takijiri and between Chikatsuyu and Hongu were not found. The page does not name Chikatsuyu as a stop, though the route runs through it; confirm.</t>
  </si>
  <si>
    <t xml:space="preserve">Bus Hongu to Shingu (Kumano Kotsu)</t>
  </si>
  <si>
    <t xml:space="preserve">Day 11</t>
  </si>
  <si>
    <t xml:space="preserve">japan-guide.com. The river boat starts at Michi-no-eki Dorokyo Kaido Kumanogawa on this road; confirm the stop.</t>
  </si>
  <si>
    <t xml:space="preserve">JR Shingu to Tokyo via Shin-Osaka (Kuroshio and Nozomi, through ticket)</t>
  </si>
  <si>
    <t xml:space="preserve">Day 12</t>
  </si>
  <si>
    <t xml:space="preserve">jr-group.jp, normal season. Via Nagoya (Nanki plus Nozomi) is about ¥18,830 as two tickets.</t>
  </si>
  <si>
    <t xml:space="preserve">Luggage forwarding Kyoto hotel to Shingu hotel (Yamato, size 140)</t>
  </si>
  <si>
    <t xml:space="preserve">Yamato within Kansai, size 140, cash rate effective Apr 2024. Travelers carry a day pack through Koyasan and the Kumano Kodo.</t>
  </si>
  <si>
    <t xml:space="preserve">Rail passes (not used)</t>
  </si>
  <si>
    <t xml:space="preserve">Point tickets total about ¥42,510 for the JR legs. 7-day Japan Rail Pass is ¥53,000 from Oct 2026; Ise-Kumano-Wakayama Area Pass ¥16,500 covers ¥14,460 of fares here.</t>
  </si>
  <si>
    <t xml:space="preserve">Training</t>
  </si>
  <si>
    <t xml:space="preserve">Feeling Samurai Soul with Yusuke (kimono, tea, meditation, sword handling)</t>
  </si>
  <si>
    <t xml:space="preserve">Day 2</t>
  </si>
  <si>
    <t xml:space="preserve">Airbnb Experiences listing 79594, from ¥15,000 per guest, 2.5 h. No group rate listed.</t>
  </si>
  <si>
    <t xml:space="preserve">KAMUI private Kengido and samurai experience</t>
  </si>
  <si>
    <t xml:space="preserve">Day 3</t>
  </si>
  <si>
    <t xml:space="preserve">per group</t>
  </si>
  <si>
    <t xml:space="preserve">2026 Kanagawa DMO tariff (wholesale): ¥330,000 per group plus ¥16,500 per person plus 10%, worked for 13 people. Venue is in Kanagawa, 60 min, venue cost extra. A Tokyo workshop at Hotel Chinzanso is price on request.</t>
  </si>
  <si>
    <t xml:space="preserve">Yushinkan Kyoto: Samurai Training with the Modern-day Musashi</t>
  </si>
  <si>
    <t xml:space="preserve">Day 6</t>
  </si>
  <si>
    <t xml:space="preserve">yushinkankyoto.com, ¥20,000 tax incl., 90 min. Max 9 per session, so the group needs 2 sessions. The listed plan has the sensei perform tameshigiri as a demonstration; guests do not cut.</t>
  </si>
  <si>
    <t xml:space="preserve">Samurai Calligraphy with the oversized brush (Samurai Honor, Osaka)</t>
  </si>
  <si>
    <t xml:space="preserve">nta.co.jp, from ¥9,900 tax incl. Brush 5 times the usual size, 150 cm paper. Up to 20 per slot.</t>
  </si>
  <si>
    <t xml:space="preserve">Musuhi Budojo: kenjutsu and Ryukyu karate with Matsufune Asami</t>
  </si>
  <si>
    <t xml:space="preserve">Day 10</t>
  </si>
  <si>
    <t xml:space="preserve">MISSING</t>
  </si>
  <si>
    <t xml:space="preserve">No published price found. Ask the dojo.</t>
  </si>
  <si>
    <t xml:space="preserve">Admissions</t>
  </si>
  <si>
    <t xml:space="preserve">Japanese Sword Museum</t>
  </si>
  <si>
    <t xml:space="preserve">touken.or.jp; fee varies by exhibition</t>
  </si>
  <si>
    <t xml:space="preserve">Ryoan-ji</t>
  </si>
  <si>
    <t xml:space="preserve">Day 5</t>
  </si>
  <si>
    <t xml:space="preserve">japan-guide.com, Dec 2025</t>
  </si>
  <si>
    <t xml:space="preserve">Kinkaku-ji (optional)</t>
  </si>
  <si>
    <t xml:space="preserve">japan-guide.com. The page lists Kinkaku-ji or Ryoan-ji; Qty 0. Set to 1 to include.</t>
  </si>
  <si>
    <t xml:space="preserve">Tea ceremony, Camellia (shared session)</t>
  </si>
  <si>
    <t xml:space="preserve">tea-kyoto.com, 45 min. Private session ¥8,000 per person.</t>
  </si>
  <si>
    <t xml:space="preserve">Koyasan combined ticket: Kongobuji, Kondo, Konpon Daito, Tokugawa Reidai</t>
  </si>
  <si>
    <t xml:space="preserve">koyasan.or.jp. Group discount starts at 20.</t>
  </si>
  <si>
    <t xml:space="preserve">Yunomine Onsen public bath</t>
  </si>
  <si>
    <t xml:space="preserve">tb-kumano.jp. Tsuboyu is ¥800 per 30-minute private session for 1 or 2 people, which does not suit a group of 13.</t>
  </si>
  <si>
    <t xml:space="preserve">Kumano River traditional boat (kawabune)</t>
  </si>
  <si>
    <t xml:space="preserve">shinguu.jp: adult ¥4,950, 90 min, to the Hayatama riverbank; max 14 per boat. Reservation required.</t>
  </si>
  <si>
    <t xml:space="preserve">Group meals</t>
  </si>
  <si>
    <t xml:space="preserve">Lunches not otherwise covered</t>
  </si>
  <si>
    <t xml:space="preserve">Days 2 to 12 (9)</t>
  </si>
  <si>
    <t xml:space="preserve">japan-guide mid-range lunch, top of the ¥800 to 1,500 range. Days 10 and 11 use the minshuku lunch box.</t>
  </si>
  <si>
    <t xml:space="preserve">Dinners not otherwise covered</t>
  </si>
  <si>
    <t xml:space="preserve">Days 1 to 7, 11 (8)</t>
  </si>
  <si>
    <t xml:space="preserve">japan-guide mid-range dinner, top of the ¥1,000 to 2,500 range. Day 8 shukubo and Days 9 and 10 minshuku include dinner.</t>
  </si>
  <si>
    <t xml:space="preserve">Breakfasts not otherwise covered</t>
  </si>
  <si>
    <t xml:space="preserve">Days 2 to 8, 12 (8)</t>
  </si>
  <si>
    <t xml:space="preserve">japan-guide mid-range breakfast. None of the Fora hotel rates is confirmed to include breakfast.</t>
  </si>
  <si>
    <t xml:space="preserve">Leader</t>
  </si>
  <si>
    <t xml:space="preserve">Your own costs, split across travelers</t>
  </si>
  <si>
    <t xml:space="preserve">Whole trip</t>
  </si>
  <si>
    <t xml:space="preserve">leader</t>
  </si>
  <si>
    <t xml:space="preserve">Formula</t>
  </si>
  <si>
    <t xml:space="preserve">Assumption, not a quote: your single room (Room Pricing sheet) plus your per-person costs, divided by the travelers. Set B9 to 0 to leave it out.</t>
  </si>
  <si>
    <t xml:space="preserve">Summary</t>
  </si>
  <si>
    <t xml:space="preserve">Cost per traveler</t>
  </si>
  <si>
    <t xml:space="preserve">Price per traveler (sharing a double)</t>
  </si>
  <si>
    <t xml:space="preserve">Profit per traveler</t>
  </si>
  <si>
    <t xml:space="preserve">Profit margin %</t>
  </si>
  <si>
    <t xml:space="preserve">Group revenue (all sharing doubles)</t>
  </si>
  <si>
    <t xml:space="preserve">Group cost (all sharing doubles)</t>
  </si>
  <si>
    <t xml:space="preserve">Group profit (all sharing doubles)</t>
  </si>
  <si>
    <t xml:space="preserve">Missing items (not priced)</t>
  </si>
  <si>
    <t xml:space="preserve">Single price minus double price</t>
  </si>
  <si>
    <t xml:space="preserve">Subtotals by category</t>
  </si>
  <si>
    <t xml:space="preserve">Price excludes international flights and any Fora commission earned on hotel bookings.</t>
  </si>
  <si>
    <t xml:space="preserve">Bushido: the Way of the Warrior : Price by Room Type</t>
  </si>
  <si>
    <t xml:space="preserve">Blue = input. Lodging is the whole stay per room. Every other cost comes from the Tour Cost sheet.</t>
  </si>
  <si>
    <t xml:space="preserve">Stay</t>
  </si>
  <si>
    <t xml:space="preserve">Nights</t>
  </si>
  <si>
    <t xml:space="preserve">Single room ($)</t>
  </si>
  <si>
    <t xml:space="preserve">Double room ($)</t>
  </si>
  <si>
    <t xml:space="preserve">Room(s) for 4 ($)</t>
  </si>
  <si>
    <t xml:space="preserve">Notes</t>
  </si>
  <si>
    <t xml:space="preserve">Tokyo, Ryogoku View Hotel</t>
  </si>
  <si>
    <t xml:space="preserve">Fora: 1 adult $230; 2 adults $315; 4 adults in 1 room $579.</t>
  </si>
  <si>
    <t xml:space="preserve">Kyoto, Miyako City Kintetsu Kyoto Station</t>
  </si>
  <si>
    <t xml:space="preserve">Fora, 4 nights: 1 or 2 adults $324. A 4-adult room costs more than 2 doubles.</t>
  </si>
  <si>
    <t xml:space="preserve">Koyasan, Shukubo Ekoin</t>
  </si>
  <si>
    <t xml:space="preserve">Fora (January comparable): 1 or 2 adults $254; 4 adults $485.</t>
  </si>
  <si>
    <t xml:space="preserve">Chikatsuyu, Minshuku Chikatsuyu</t>
  </si>
  <si>
    <t xml:space="preserve">Per person ¥18,400 single, ¥16,200 sharing, per night. Group of 4 at the sharing rate.</t>
  </si>
  <si>
    <t xml:space="preserve">Shingu, Hotel New Palace</t>
  </si>
  <si>
    <t xml:space="preserve">Fora: 1 or 2 adults $104; no 4-adult room.</t>
  </si>
  <si>
    <t xml:space="preserve">Tokyo final night, Ryogoku View Hotel</t>
  </si>
  <si>
    <t xml:space="preserve">One night at the Days 1 to 3 rates. Set Tour Cost Qty to 0 and this row to 0 to drop it.</t>
  </si>
  <si>
    <t xml:space="preserve">Lodging, whole trip</t>
  </si>
  <si>
    <t xml:space="preserve">Room type</t>
  </si>
  <si>
    <t xml:space="preserve">People per room</t>
  </si>
  <si>
    <t xml:space="preserve">Lodging per person</t>
  </si>
  <si>
    <t xml:space="preserve">Other costs per person</t>
  </si>
  <si>
    <t xml:space="preserve">Your costs, per traveler</t>
  </si>
  <si>
    <t xml:space="preserve">Cost per person</t>
  </si>
  <si>
    <t xml:space="preserve">Price per person</t>
  </si>
  <si>
    <t xml:space="preserve">Profit per person</t>
  </si>
  <si>
    <t xml:space="preserve">Single</t>
  </si>
  <si>
    <t xml:space="preserve">Couple (shared double)</t>
  </si>
  <si>
    <t xml:space="preserve">Group of 4 (shared rooms)</t>
  </si>
  <si>
    <t xml:space="preserve">Party mix (sets the traveler count used for group costs)</t>
  </si>
  <si>
    <t xml:space="preserve">Singles</t>
  </si>
  <si>
    <t xml:space="preserve">Travelers (total)</t>
  </si>
  <si>
    <t xml:space="preserve">Couples</t>
  </si>
  <si>
    <t xml:space="preserve">Groups of 4</t>
  </si>
  <si>
    <t xml:space="preserve">Group revenue</t>
  </si>
  <si>
    <t xml:space="preserve">Group cost</t>
  </si>
  <si>
    <t xml:space="preserve">Group profit</t>
  </si>
  <si>
    <t xml:space="preserve">KAMUI is a fixed group price worked for 13 people; it and your own costs are split across the travelers above, so prices change when the mix changes. Yushinkan takes 9 per session, so 12 travelers need 2 sessions.</t>
  </si>
  <si>
    <t xml:space="preserve">Example mixes for a group of 12</t>
  </si>
  <si>
    <t xml:space="preserve">Mix</t>
  </si>
  <si>
    <t xml:space="preserve">All couples</t>
  </si>
  <si>
    <t xml:space="preserve">Two singles, five couples</t>
  </si>
  <si>
    <t xml:space="preserve">Four singles, four couples</t>
  </si>
  <si>
    <t xml:space="preserve">Couples and one group of 4</t>
  </si>
  <si>
    <t xml:space="preserve">Two singles, three couples, one group of 4</t>
  </si>
  <si>
    <t xml:space="preserve">Three groups of 4</t>
  </si>
  <si>
    <t xml:space="preserve">Each row is 12 travelers, so KAMUI and your own costs split the same way in every row.</t>
  </si>
  <si>
    <t xml:space="preserve">Bushido: Stay Tiers</t>
  </si>
  <si>
    <t xml:space="preserve">Three levels of hotel in the same neighborhoods. Totals are per room for the whole stay, from the Fora portal on the sample dates (Koyasan: January comparable). A group of 4 takes 2 doubles where no 4-person room was offered. Chikatsuyu and Shingu have one option each, so all tiers use them.</t>
  </si>
  <si>
    <t xml:space="preserve">Tier</t>
  </si>
  <si>
    <t xml:space="preserve">Hotel</t>
  </si>
  <si>
    <t xml:space="preserve">Area</t>
  </si>
  <si>
    <t xml:space="preserve">Tokyo</t>
  </si>
  <si>
    <t xml:space="preserve">Standard</t>
  </si>
  <si>
    <t xml:space="preserve">Ryogoku View Hotel</t>
  </si>
  <si>
    <t xml:space="preserve">Ryogoku, Sumida</t>
  </si>
  <si>
    <t xml:space="preserve">Superior</t>
  </si>
  <si>
    <t xml:space="preserve">The Gate Hotel Ryogoku by Hulic</t>
  </si>
  <si>
    <t xml:space="preserve">Premium</t>
  </si>
  <si>
    <t xml:space="preserve">Onyado Nono Asakusa Natural Hot Springs</t>
  </si>
  <si>
    <t xml:space="preserve">Asakusa, across the Sumida River</t>
  </si>
  <si>
    <t xml:space="preserve">Kyoto</t>
  </si>
  <si>
    <t xml:space="preserve">Miyako City Kintetsu Kyoto Station</t>
  </si>
  <si>
    <t xml:space="preserve">Kyoto Station</t>
  </si>
  <si>
    <t xml:space="preserve">Mitsui Garden Hotel Kyoto Station</t>
  </si>
  <si>
    <t xml:space="preserve">Hotel Granvia Kyoto</t>
  </si>
  <si>
    <t xml:space="preserve">In Kyoto Station</t>
  </si>
  <si>
    <t xml:space="preserve">Koyasan</t>
  </si>
  <si>
    <t xml:space="preserve">Shukubo Ekoin</t>
  </si>
  <si>
    <t xml:space="preserve">Koyasan Rengejoin</t>
  </si>
  <si>
    <t xml:space="preserve">Chikatsuyu</t>
  </si>
  <si>
    <t xml:space="preserve">All tiers</t>
  </si>
  <si>
    <t xml:space="preserve">Shingu</t>
  </si>
  <si>
    <t xml:space="preserve">Tokyo final night: one night at the Tokyo tier rate (one third of the 3-night total).</t>
  </si>
  <si>
    <t xml:space="preserve">Price per person by tier</t>
  </si>
  <si>
    <t xml:space="preserve">Other costs and your costs are the same in every tier (Room Pricing sheet). Your own room is counted at the Standard single rate.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</si>
</sst>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General"/>
    <numFmt numFmtId="167" formatCode="\$#,##0"/>
    <numFmt numFmtId="168" formatCode="\¥#,##0"/>
    <numFmt numFmtId="169" formatCode="\$#,##0.00"/>
    <numFmt numFmtId="170" formatCode="0.0%"/>
    <numFmt numFmtId="171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EDEDED"/>
      </patternFill>
    </fill>
    <fill>
      <patternFill patternType="solid">
        <fgColor rgb="FFEDEDED"/>
        <bgColor rgb="FFD9E1F2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5" min="4" style="0" width="13"/>
    <col collapsed="false" customWidth="true" hidden="false" outlineLevel="0" max="6" min="6" style="0" width="6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158.19</v>
      </c>
      <c r="C4" s="5" t="s">
        <v>3</v>
      </c>
    </row>
    <row r="5" customFormat="false" ht="15" hidden="false" customHeight="false" outlineLevel="0" collapsed="false">
      <c r="A5" s="3" t="s">
        <v>4</v>
      </c>
      <c r="B5" s="6" t="n">
        <f aca="false">'Room Pricing'!B21</f>
        <v>12</v>
      </c>
      <c r="C5" s="5" t="s">
        <v>5</v>
      </c>
    </row>
    <row r="6" customFormat="false" ht="15" hidden="false" customHeight="false" outlineLevel="0" collapsed="false">
      <c r="A6" s="3" t="s">
        <v>6</v>
      </c>
      <c r="B6" s="7" t="n">
        <f aca="false">ROUNDDOWN(B54+B8,-1)</f>
        <v>2750</v>
      </c>
      <c r="C6" s="5" t="s">
        <v>7</v>
      </c>
    </row>
    <row r="7" customFormat="false" ht="15" hidden="false" customHeight="false" outlineLevel="0" collapsed="false">
      <c r="A7" s="3" t="s">
        <v>8</v>
      </c>
      <c r="B7" s="6" t="n">
        <v>2</v>
      </c>
      <c r="C7" s="5"/>
    </row>
    <row r="8" customFormat="false" ht="15" hidden="false" customHeight="false" outlineLevel="0" collapsed="false">
      <c r="A8" s="3" t="s">
        <v>9</v>
      </c>
      <c r="B8" s="8" t="n">
        <v>500</v>
      </c>
      <c r="C8" s="5" t="s">
        <v>10</v>
      </c>
    </row>
    <row r="9" customFormat="false" ht="15" hidden="false" customHeight="false" outlineLevel="0" collapsed="false">
      <c r="A9" s="3" t="s">
        <v>11</v>
      </c>
      <c r="B9" s="6" t="n">
        <v>1</v>
      </c>
      <c r="C9" s="5" t="s">
        <v>12</v>
      </c>
    </row>
    <row r="11" customFormat="false" ht="26.85" hidden="false" customHeight="false" outlineLevel="0" collapsed="false">
      <c r="A11" s="9" t="s">
        <v>13</v>
      </c>
      <c r="B11" s="9" t="s">
        <v>14</v>
      </c>
      <c r="C11" s="9" t="s">
        <v>15</v>
      </c>
      <c r="D11" s="9" t="s">
        <v>16</v>
      </c>
      <c r="E11" s="9" t="s">
        <v>17</v>
      </c>
      <c r="F11" s="9" t="s">
        <v>18</v>
      </c>
      <c r="G11" s="9" t="s">
        <v>19</v>
      </c>
      <c r="H11" s="9" t="s">
        <v>20</v>
      </c>
      <c r="I11" s="9" t="s">
        <v>21</v>
      </c>
      <c r="J11" s="9" t="s">
        <v>22</v>
      </c>
    </row>
    <row r="12" customFormat="false" ht="15" hidden="false" customHeight="false" outlineLevel="0" collapsed="false">
      <c r="A12" s="10" t="s">
        <v>23</v>
      </c>
      <c r="B12" s="11"/>
      <c r="C12" s="11"/>
      <c r="D12" s="11"/>
      <c r="E12" s="11"/>
      <c r="F12" s="11"/>
      <c r="G12" s="11"/>
      <c r="H12" s="11"/>
      <c r="I12" s="11"/>
      <c r="J12" s="11"/>
    </row>
    <row r="13" customFormat="false" ht="39.55" hidden="false" customHeight="false" outlineLevel="0" collapsed="false">
      <c r="A13" s="12" t="s">
        <v>23</v>
      </c>
      <c r="B13" s="12" t="s">
        <v>24</v>
      </c>
      <c r="C13" s="12" t="s">
        <v>25</v>
      </c>
      <c r="D13" s="13"/>
      <c r="E13" s="14" t="n">
        <v>105</v>
      </c>
      <c r="F13" s="15" t="n">
        <v>3</v>
      </c>
      <c r="G13" s="12" t="s">
        <v>26</v>
      </c>
      <c r="H13" s="16" t="n">
        <f aca="false">IF(E13="","",IF(G13="per room",E13*F13/$B$7,IF(G13="per group",E13*F13/$B$5,E13*F13)))</f>
        <v>157.5</v>
      </c>
      <c r="I13" s="12" t="s">
        <v>27</v>
      </c>
      <c r="J13" s="12" t="s">
        <v>28</v>
      </c>
    </row>
    <row r="14" customFormat="false" ht="52.2" hidden="false" customHeight="false" outlineLevel="0" collapsed="false">
      <c r="A14" s="12" t="s">
        <v>23</v>
      </c>
      <c r="B14" s="12" t="s">
        <v>29</v>
      </c>
      <c r="C14" s="12" t="s">
        <v>30</v>
      </c>
      <c r="D14" s="13"/>
      <c r="E14" s="14" t="n">
        <v>81</v>
      </c>
      <c r="F14" s="15" t="n">
        <v>4</v>
      </c>
      <c r="G14" s="12" t="s">
        <v>26</v>
      </c>
      <c r="H14" s="16" t="n">
        <f aca="false">IF(E14="","",IF(G14="per room",E14*F14/$B$7,IF(G14="per group",E14*F14/$B$5,E14*F14)))</f>
        <v>162</v>
      </c>
      <c r="I14" s="12" t="s">
        <v>27</v>
      </c>
      <c r="J14" s="12" t="s">
        <v>31</v>
      </c>
    </row>
    <row r="15" customFormat="false" ht="77.6" hidden="false" customHeight="false" outlineLevel="0" collapsed="false">
      <c r="A15" s="12" t="s">
        <v>23</v>
      </c>
      <c r="B15" s="12" t="s">
        <v>32</v>
      </c>
      <c r="C15" s="12" t="s">
        <v>33</v>
      </c>
      <c r="D15" s="13"/>
      <c r="E15" s="14" t="n">
        <v>254</v>
      </c>
      <c r="F15" s="15" t="n">
        <v>1</v>
      </c>
      <c r="G15" s="12" t="s">
        <v>26</v>
      </c>
      <c r="H15" s="16" t="n">
        <f aca="false">IF(E15="","",IF(G15="per room",E15*F15/$B$7,IF(G15="per group",E15*F15/$B$5,E15*F15)))</f>
        <v>127</v>
      </c>
      <c r="I15" s="12" t="s">
        <v>27</v>
      </c>
      <c r="J15" s="12" t="s">
        <v>34</v>
      </c>
    </row>
    <row r="16" customFormat="false" ht="52.2" hidden="false" customHeight="false" outlineLevel="0" collapsed="false">
      <c r="A16" s="12" t="s">
        <v>23</v>
      </c>
      <c r="B16" s="12" t="s">
        <v>35</v>
      </c>
      <c r="C16" s="12" t="s">
        <v>36</v>
      </c>
      <c r="D16" s="13" t="n">
        <v>32400</v>
      </c>
      <c r="E16" s="16" t="n">
        <f aca="false">IF(D16="","",D16/$B$4)</f>
        <v>204.81699222454</v>
      </c>
      <c r="F16" s="15" t="n">
        <v>2</v>
      </c>
      <c r="G16" s="12" t="s">
        <v>26</v>
      </c>
      <c r="H16" s="16" t="n">
        <f aca="false">IF(E16="","",IF(G16="per room",E16*F16/$B$7,IF(G16="per group",E16*F16/$B$5,E16*F16)))</f>
        <v>204.81699222454</v>
      </c>
      <c r="I16" s="12" t="s">
        <v>37</v>
      </c>
      <c r="J16" s="12" t="s">
        <v>38</v>
      </c>
    </row>
    <row r="17" customFormat="false" ht="39.55" hidden="false" customHeight="false" outlineLevel="0" collapsed="false">
      <c r="A17" s="12" t="s">
        <v>23</v>
      </c>
      <c r="B17" s="12" t="s">
        <v>39</v>
      </c>
      <c r="C17" s="12" t="s">
        <v>40</v>
      </c>
      <c r="D17" s="13"/>
      <c r="E17" s="14" t="n">
        <v>104</v>
      </c>
      <c r="F17" s="15" t="n">
        <v>1</v>
      </c>
      <c r="G17" s="12" t="s">
        <v>26</v>
      </c>
      <c r="H17" s="16" t="n">
        <f aca="false">IF(E17="","",IF(G17="per room",E17*F17/$B$7,IF(G17="per group",E17*F17/$B$5,E17*F17)))</f>
        <v>52</v>
      </c>
      <c r="I17" s="12" t="s">
        <v>27</v>
      </c>
      <c r="J17" s="12" t="s">
        <v>41</v>
      </c>
    </row>
    <row r="18" customFormat="false" ht="39.55" hidden="false" customHeight="false" outlineLevel="0" collapsed="false">
      <c r="A18" s="12" t="s">
        <v>23</v>
      </c>
      <c r="B18" s="12" t="s">
        <v>42</v>
      </c>
      <c r="C18" s="12" t="s">
        <v>43</v>
      </c>
      <c r="D18" s="13"/>
      <c r="E18" s="14" t="n">
        <v>105</v>
      </c>
      <c r="F18" s="15" t="n">
        <v>1</v>
      </c>
      <c r="G18" s="12" t="s">
        <v>26</v>
      </c>
      <c r="H18" s="16" t="n">
        <f aca="false">IF(E18="","",IF(G18="per room",E18*F18/$B$7,IF(G18="per group",E18*F18/$B$5,E18*F18)))</f>
        <v>52.5</v>
      </c>
      <c r="I18" s="12" t="s">
        <v>44</v>
      </c>
      <c r="J18" s="12" t="s">
        <v>45</v>
      </c>
    </row>
    <row r="19" customFormat="false" ht="15" hidden="false" customHeight="false" outlineLevel="0" collapsed="false">
      <c r="A19" s="10" t="s">
        <v>46</v>
      </c>
      <c r="B19" s="11"/>
      <c r="C19" s="11"/>
      <c r="D19" s="11"/>
      <c r="E19" s="11"/>
      <c r="F19" s="11"/>
      <c r="G19" s="11"/>
      <c r="H19" s="11"/>
      <c r="I19" s="11"/>
      <c r="J19" s="11"/>
    </row>
    <row r="20" customFormat="false" ht="39.55" hidden="false" customHeight="false" outlineLevel="0" collapsed="false">
      <c r="A20" s="12" t="s">
        <v>46</v>
      </c>
      <c r="B20" s="12" t="s">
        <v>47</v>
      </c>
      <c r="C20" s="12" t="s">
        <v>48</v>
      </c>
      <c r="D20" s="13" t="n">
        <v>14170</v>
      </c>
      <c r="E20" s="16" t="n">
        <f aca="false">IF(D20="","",D20/$B$4)</f>
        <v>89.5758265377078</v>
      </c>
      <c r="F20" s="15" t="n">
        <v>1</v>
      </c>
      <c r="G20" s="12" t="s">
        <v>49</v>
      </c>
      <c r="H20" s="16" t="n">
        <f aca="false">IF(E20="","",IF(G20="per room",E20*F20/$B$7,IF(G20="per group",E20*F20/$B$5,E20*F20)))</f>
        <v>89.5758265377078</v>
      </c>
      <c r="I20" s="12" t="s">
        <v>37</v>
      </c>
      <c r="J20" s="12" t="s">
        <v>50</v>
      </c>
    </row>
    <row r="21" customFormat="false" ht="26.85" hidden="false" customHeight="false" outlineLevel="0" collapsed="false">
      <c r="A21" s="12" t="s">
        <v>46</v>
      </c>
      <c r="B21" s="12" t="s">
        <v>51</v>
      </c>
      <c r="C21" s="12" t="s">
        <v>52</v>
      </c>
      <c r="D21" s="13" t="n">
        <v>1100</v>
      </c>
      <c r="E21" s="16" t="n">
        <f aca="false">IF(D21="","",D21/$B$4)</f>
        <v>6.95366331626525</v>
      </c>
      <c r="F21" s="15" t="n">
        <v>3</v>
      </c>
      <c r="G21" s="12" t="s">
        <v>49</v>
      </c>
      <c r="H21" s="16" t="n">
        <f aca="false">IF(E21="","",IF(G21="per room",E21*F21/$B$7,IF(G21="per group",E21*F21/$B$5,E21*F21)))</f>
        <v>20.8609899487958</v>
      </c>
      <c r="I21" s="12" t="s">
        <v>37</v>
      </c>
      <c r="J21" s="12" t="s">
        <v>53</v>
      </c>
    </row>
    <row r="22" customFormat="false" ht="39.55" hidden="false" customHeight="false" outlineLevel="0" collapsed="false">
      <c r="A22" s="12" t="s">
        <v>46</v>
      </c>
      <c r="B22" s="12" t="s">
        <v>54</v>
      </c>
      <c r="C22" s="12" t="s">
        <v>55</v>
      </c>
      <c r="D22" s="13" t="n">
        <v>960</v>
      </c>
      <c r="E22" s="16" t="n">
        <f aca="false">IF(D22="","",D22/$B$4)</f>
        <v>6.06865162146786</v>
      </c>
      <c r="F22" s="15" t="n">
        <v>2</v>
      </c>
      <c r="G22" s="12" t="s">
        <v>49</v>
      </c>
      <c r="H22" s="16" t="n">
        <f aca="false">IF(E22="","",IF(G22="per room",E22*F22/$B$7,IF(G22="per group",E22*F22/$B$5,E22*F22)))</f>
        <v>12.1373032429357</v>
      </c>
      <c r="I22" s="12" t="s">
        <v>44</v>
      </c>
      <c r="J22" s="12" t="s">
        <v>56</v>
      </c>
    </row>
    <row r="23" customFormat="false" ht="26.85" hidden="false" customHeight="false" outlineLevel="0" collapsed="false">
      <c r="A23" s="12" t="s">
        <v>46</v>
      </c>
      <c r="B23" s="12" t="s">
        <v>57</v>
      </c>
      <c r="C23" s="12" t="s">
        <v>58</v>
      </c>
      <c r="D23" s="13" t="n">
        <v>960</v>
      </c>
      <c r="E23" s="16" t="n">
        <f aca="false">IF(D23="","",D23/$B$4)</f>
        <v>6.06865162146786</v>
      </c>
      <c r="F23" s="15" t="n">
        <v>1</v>
      </c>
      <c r="G23" s="12" t="s">
        <v>49</v>
      </c>
      <c r="H23" s="16" t="n">
        <f aca="false">IF(E23="","",IF(G23="per room",E23*F23/$B$7,IF(G23="per group",E23*F23/$B$5,E23*F23)))</f>
        <v>6.06865162146786</v>
      </c>
      <c r="I23" s="12" t="s">
        <v>37</v>
      </c>
      <c r="J23" s="12" t="s">
        <v>59</v>
      </c>
    </row>
    <row r="24" customFormat="false" ht="52.2" hidden="false" customHeight="false" outlineLevel="0" collapsed="false">
      <c r="A24" s="12" t="s">
        <v>46</v>
      </c>
      <c r="B24" s="12" t="s">
        <v>60</v>
      </c>
      <c r="C24" s="12" t="s">
        <v>58</v>
      </c>
      <c r="D24" s="13" t="n">
        <v>2990</v>
      </c>
      <c r="E24" s="16" t="n">
        <f aca="false">IF(D24="","",D24/$B$4)</f>
        <v>18.9013211960301</v>
      </c>
      <c r="F24" s="15" t="n">
        <v>1</v>
      </c>
      <c r="G24" s="12" t="s">
        <v>49</v>
      </c>
      <c r="H24" s="16" t="n">
        <f aca="false">IF(E24="","",IF(G24="per room",E24*F24/$B$7,IF(G24="per group",E24*F24/$B$5,E24*F24)))</f>
        <v>18.9013211960301</v>
      </c>
      <c r="I24" s="12" t="s">
        <v>44</v>
      </c>
      <c r="J24" s="12" t="s">
        <v>61</v>
      </c>
    </row>
    <row r="25" customFormat="false" ht="26.85" hidden="false" customHeight="false" outlineLevel="0" collapsed="false">
      <c r="A25" s="12" t="s">
        <v>46</v>
      </c>
      <c r="B25" s="12" t="s">
        <v>62</v>
      </c>
      <c r="C25" s="12" t="s">
        <v>63</v>
      </c>
      <c r="D25" s="13" t="n">
        <v>1890</v>
      </c>
      <c r="E25" s="16" t="n">
        <f aca="false">IF(D25="","",D25/$B$4)</f>
        <v>11.9476578797648</v>
      </c>
      <c r="F25" s="15" t="n">
        <v>1</v>
      </c>
      <c r="G25" s="12" t="s">
        <v>49</v>
      </c>
      <c r="H25" s="16" t="n">
        <f aca="false">IF(E25="","",IF(G25="per room",E25*F25/$B$7,IF(G25="per group",E25*F25/$B$5,E25*F25)))</f>
        <v>11.9476578797648</v>
      </c>
      <c r="I25" s="12" t="s">
        <v>44</v>
      </c>
      <c r="J25" s="12" t="s">
        <v>64</v>
      </c>
    </row>
    <row r="26" customFormat="false" ht="26.85" hidden="false" customHeight="false" outlineLevel="0" collapsed="false">
      <c r="A26" s="12" t="s">
        <v>46</v>
      </c>
      <c r="B26" s="12" t="s">
        <v>65</v>
      </c>
      <c r="C26" s="12" t="s">
        <v>63</v>
      </c>
      <c r="D26" s="13" t="n">
        <v>5370</v>
      </c>
      <c r="E26" s="16" t="n">
        <f aca="false">IF(D26="","",D26/$B$4)</f>
        <v>33.9465200075858</v>
      </c>
      <c r="F26" s="15" t="n">
        <v>1</v>
      </c>
      <c r="G26" s="12" t="s">
        <v>49</v>
      </c>
      <c r="H26" s="16" t="n">
        <f aca="false">IF(E26="","",IF(G26="per room",E26*F26/$B$7,IF(G26="per group",E26*F26/$B$5,E26*F26)))</f>
        <v>33.9465200075858</v>
      </c>
      <c r="I26" s="12" t="s">
        <v>37</v>
      </c>
      <c r="J26" s="12" t="s">
        <v>66</v>
      </c>
    </row>
    <row r="27" customFormat="false" ht="64.9" hidden="false" customHeight="false" outlineLevel="0" collapsed="false">
      <c r="A27" s="12" t="s">
        <v>46</v>
      </c>
      <c r="B27" s="12" t="s">
        <v>67</v>
      </c>
      <c r="C27" s="12" t="s">
        <v>68</v>
      </c>
      <c r="D27" s="13" t="n">
        <v>5000</v>
      </c>
      <c r="E27" s="16" t="n">
        <f aca="false">IF(D27="","",D27/$B$4)</f>
        <v>31.6075605284784</v>
      </c>
      <c r="F27" s="15" t="n">
        <v>1</v>
      </c>
      <c r="G27" s="12" t="s">
        <v>49</v>
      </c>
      <c r="H27" s="16" t="n">
        <f aca="false">IF(E27="","",IF(G27="per room",E27*F27/$B$7,IF(G27="per group",E27*F27/$B$5,E27*F27)))</f>
        <v>31.6075605284784</v>
      </c>
      <c r="I27" s="12" t="s">
        <v>37</v>
      </c>
      <c r="J27" s="12" t="s">
        <v>69</v>
      </c>
    </row>
    <row r="28" customFormat="false" ht="26.85" hidden="false" customHeight="false" outlineLevel="0" collapsed="false">
      <c r="A28" s="12" t="s">
        <v>46</v>
      </c>
      <c r="B28" s="12" t="s">
        <v>70</v>
      </c>
      <c r="C28" s="12" t="s">
        <v>71</v>
      </c>
      <c r="D28" s="13" t="n">
        <v>1560</v>
      </c>
      <c r="E28" s="16" t="n">
        <f aca="false">IF(D28="","",D28/$B$4)</f>
        <v>9.86155888488526</v>
      </c>
      <c r="F28" s="15" t="n">
        <v>1</v>
      </c>
      <c r="G28" s="12" t="s">
        <v>49</v>
      </c>
      <c r="H28" s="16" t="n">
        <f aca="false">IF(E28="","",IF(G28="per room",E28*F28/$B$7,IF(G28="per group",E28*F28/$B$5,E28*F28)))</f>
        <v>9.86155888488526</v>
      </c>
      <c r="I28" s="12" t="s">
        <v>37</v>
      </c>
      <c r="J28" s="12" t="s">
        <v>72</v>
      </c>
    </row>
    <row r="29" customFormat="false" ht="26.85" hidden="false" customHeight="false" outlineLevel="0" collapsed="false">
      <c r="A29" s="12" t="s">
        <v>46</v>
      </c>
      <c r="B29" s="12" t="s">
        <v>73</v>
      </c>
      <c r="C29" s="12" t="s">
        <v>74</v>
      </c>
      <c r="D29" s="13" t="n">
        <v>20090</v>
      </c>
      <c r="E29" s="16" t="n">
        <f aca="false">IF(D29="","",D29/$B$4)</f>
        <v>126.999178203426</v>
      </c>
      <c r="F29" s="15" t="n">
        <v>1</v>
      </c>
      <c r="G29" s="12" t="s">
        <v>49</v>
      </c>
      <c r="H29" s="16" t="n">
        <f aca="false">IF(E29="","",IF(G29="per room",E29*F29/$B$7,IF(G29="per group",E29*F29/$B$5,E29*F29)))</f>
        <v>126.999178203426</v>
      </c>
      <c r="I29" s="12" t="s">
        <v>37</v>
      </c>
      <c r="J29" s="12" t="s">
        <v>75</v>
      </c>
    </row>
    <row r="30" customFormat="false" ht="39.55" hidden="false" customHeight="false" outlineLevel="0" collapsed="false">
      <c r="A30" s="12" t="s">
        <v>46</v>
      </c>
      <c r="B30" s="12" t="s">
        <v>76</v>
      </c>
      <c r="C30" s="12" t="s">
        <v>58</v>
      </c>
      <c r="D30" s="13" t="n">
        <v>2190</v>
      </c>
      <c r="E30" s="16" t="n">
        <f aca="false">IF(D30="","",D30/$B$4)</f>
        <v>13.8441115114735</v>
      </c>
      <c r="F30" s="15" t="n">
        <v>1</v>
      </c>
      <c r="G30" s="12" t="s">
        <v>49</v>
      </c>
      <c r="H30" s="16" t="n">
        <f aca="false">IF(E30="","",IF(G30="per room",E30*F30/$B$7,IF(G30="per group",E30*F30/$B$5,E30*F30)))</f>
        <v>13.8441115114735</v>
      </c>
      <c r="I30" s="12" t="s">
        <v>37</v>
      </c>
      <c r="J30" s="12" t="s">
        <v>77</v>
      </c>
    </row>
    <row r="31" customFormat="false" ht="39.55" hidden="false" customHeight="false" outlineLevel="0" collapsed="false">
      <c r="A31" s="12" t="s">
        <v>46</v>
      </c>
      <c r="B31" s="12" t="s">
        <v>78</v>
      </c>
      <c r="C31" s="12"/>
      <c r="D31" s="13" t="n">
        <v>0</v>
      </c>
      <c r="E31" s="16" t="n">
        <f aca="false">IF(D31="","",D31/$B$4)</f>
        <v>0</v>
      </c>
      <c r="F31" s="15" t="n">
        <v>0</v>
      </c>
      <c r="G31" s="12" t="s">
        <v>49</v>
      </c>
      <c r="H31" s="16" t="n">
        <f aca="false">IF(E31="","",IF(G31="per room",E31*F31/$B$7,IF(G31="per group",E31*F31/$B$5,E31*F31)))</f>
        <v>0</v>
      </c>
      <c r="I31" s="12" t="s">
        <v>37</v>
      </c>
      <c r="J31" s="12" t="s">
        <v>79</v>
      </c>
    </row>
    <row r="32" customFormat="false" ht="15" hidden="false" customHeight="false" outlineLevel="0" collapsed="false">
      <c r="A32" s="10" t="s">
        <v>80</v>
      </c>
      <c r="B32" s="11"/>
      <c r="C32" s="11"/>
      <c r="D32" s="11"/>
      <c r="E32" s="11"/>
      <c r="F32" s="11"/>
      <c r="G32" s="11"/>
      <c r="H32" s="11"/>
      <c r="I32" s="11"/>
      <c r="J32" s="11"/>
    </row>
    <row r="33" customFormat="false" ht="26.85" hidden="false" customHeight="false" outlineLevel="0" collapsed="false">
      <c r="A33" s="12" t="s">
        <v>80</v>
      </c>
      <c r="B33" s="12" t="s">
        <v>81</v>
      </c>
      <c r="C33" s="12" t="s">
        <v>82</v>
      </c>
      <c r="D33" s="13" t="n">
        <v>15000</v>
      </c>
      <c r="E33" s="16" t="n">
        <f aca="false">IF(D33="","",D33/$B$4)</f>
        <v>94.8226815854352</v>
      </c>
      <c r="F33" s="15" t="n">
        <v>1</v>
      </c>
      <c r="G33" s="12" t="s">
        <v>49</v>
      </c>
      <c r="H33" s="16" t="n">
        <f aca="false">IF(E33="","",IF(G33="per room",E33*F33/$B$7,IF(G33="per group",E33*F33/$B$5,E33*F33)))</f>
        <v>94.8226815854352</v>
      </c>
      <c r="I33" s="12" t="s">
        <v>37</v>
      </c>
      <c r="J33" s="12" t="s">
        <v>83</v>
      </c>
    </row>
    <row r="34" customFormat="false" ht="52.2" hidden="false" customHeight="false" outlineLevel="0" collapsed="false">
      <c r="A34" s="12" t="s">
        <v>80</v>
      </c>
      <c r="B34" s="12" t="s">
        <v>84</v>
      </c>
      <c r="C34" s="12" t="s">
        <v>85</v>
      </c>
      <c r="D34" s="13" t="n">
        <v>598950</v>
      </c>
      <c r="E34" s="16" t="n">
        <f aca="false">IF(D34="","",D34/$B$4)</f>
        <v>3786.26967570643</v>
      </c>
      <c r="F34" s="15" t="n">
        <v>1</v>
      </c>
      <c r="G34" s="12" t="s">
        <v>86</v>
      </c>
      <c r="H34" s="16" t="n">
        <f aca="false">IF(E34="","",IF(G34="per room",E34*F34/$B$7,IF(G34="per group",E34*F34/$B$5,E34*F34)))</f>
        <v>315.522472975536</v>
      </c>
      <c r="I34" s="12" t="s">
        <v>44</v>
      </c>
      <c r="J34" s="12" t="s">
        <v>87</v>
      </c>
    </row>
    <row r="35" customFormat="false" ht="52.2" hidden="false" customHeight="false" outlineLevel="0" collapsed="false">
      <c r="A35" s="12" t="s">
        <v>80</v>
      </c>
      <c r="B35" s="12" t="s">
        <v>88</v>
      </c>
      <c r="C35" s="12" t="s">
        <v>89</v>
      </c>
      <c r="D35" s="13" t="n">
        <v>20000</v>
      </c>
      <c r="E35" s="16" t="n">
        <f aca="false">IF(D35="","",D35/$B$4)</f>
        <v>126.430242113914</v>
      </c>
      <c r="F35" s="15" t="n">
        <v>1</v>
      </c>
      <c r="G35" s="12" t="s">
        <v>49</v>
      </c>
      <c r="H35" s="16" t="n">
        <f aca="false">IF(E35="","",IF(G35="per room",E35*F35/$B$7,IF(G35="per group",E35*F35/$B$5,E35*F35)))</f>
        <v>126.430242113914</v>
      </c>
      <c r="I35" s="12" t="s">
        <v>37</v>
      </c>
      <c r="J35" s="12" t="s">
        <v>90</v>
      </c>
    </row>
    <row r="36" customFormat="false" ht="26.85" hidden="false" customHeight="false" outlineLevel="0" collapsed="false">
      <c r="A36" s="12" t="s">
        <v>80</v>
      </c>
      <c r="B36" s="12" t="s">
        <v>91</v>
      </c>
      <c r="C36" s="12" t="s">
        <v>55</v>
      </c>
      <c r="D36" s="13" t="n">
        <v>9900</v>
      </c>
      <c r="E36" s="16" t="n">
        <f aca="false">IF(D36="","",D36/$B$4)</f>
        <v>62.5829698463873</v>
      </c>
      <c r="F36" s="15" t="n">
        <v>1</v>
      </c>
      <c r="G36" s="12" t="s">
        <v>49</v>
      </c>
      <c r="H36" s="16" t="n">
        <f aca="false">IF(E36="","",IF(G36="per room",E36*F36/$B$7,IF(G36="per group",E36*F36/$B$5,E36*F36)))</f>
        <v>62.5829698463873</v>
      </c>
      <c r="I36" s="12" t="s">
        <v>37</v>
      </c>
      <c r="J36" s="12" t="s">
        <v>92</v>
      </c>
    </row>
    <row r="37" customFormat="false" ht="26.85" hidden="false" customHeight="false" outlineLevel="0" collapsed="false">
      <c r="A37" s="12" t="s">
        <v>80</v>
      </c>
      <c r="B37" s="12" t="s">
        <v>93</v>
      </c>
      <c r="C37" s="12" t="s">
        <v>94</v>
      </c>
      <c r="D37" s="17"/>
      <c r="E37" s="18" t="str">
        <f aca="false">IF(D37="","",D37/$B$4)</f>
        <v/>
      </c>
      <c r="F37" s="15" t="n">
        <v>1</v>
      </c>
      <c r="G37" s="12" t="s">
        <v>49</v>
      </c>
      <c r="H37" s="16" t="str">
        <f aca="false">IF(E37="","",IF(G37="per room",E37*F37/$B$7,IF(G37="per group",E37*F37/$B$5,E37*F37)))</f>
        <v/>
      </c>
      <c r="I37" s="19" t="s">
        <v>95</v>
      </c>
      <c r="J37" s="12" t="s">
        <v>96</v>
      </c>
    </row>
    <row r="38" customFormat="false" ht="15" hidden="false" customHeight="false" outlineLevel="0" collapsed="false">
      <c r="A38" s="10" t="s">
        <v>97</v>
      </c>
      <c r="B38" s="11"/>
      <c r="C38" s="11"/>
      <c r="D38" s="11"/>
      <c r="E38" s="11"/>
      <c r="F38" s="11"/>
      <c r="G38" s="11"/>
      <c r="H38" s="11"/>
      <c r="I38" s="11"/>
      <c r="J38" s="11"/>
    </row>
    <row r="39" customFormat="false" ht="15" hidden="false" customHeight="false" outlineLevel="0" collapsed="false">
      <c r="A39" s="12" t="s">
        <v>97</v>
      </c>
      <c r="B39" s="12" t="s">
        <v>98</v>
      </c>
      <c r="C39" s="12" t="s">
        <v>82</v>
      </c>
      <c r="D39" s="13" t="n">
        <v>1000</v>
      </c>
      <c r="E39" s="16" t="n">
        <f aca="false">IF(D39="","",D39/$B$4)</f>
        <v>6.32151210569568</v>
      </c>
      <c r="F39" s="15" t="n">
        <v>1</v>
      </c>
      <c r="G39" s="12" t="s">
        <v>49</v>
      </c>
      <c r="H39" s="16" t="n">
        <f aca="false">IF(E39="","",IF(G39="per room",E39*F39/$B$7,IF(G39="per group",E39*F39/$B$5,E39*F39)))</f>
        <v>6.32151210569568</v>
      </c>
      <c r="I39" s="12" t="s">
        <v>37</v>
      </c>
      <c r="J39" s="12" t="s">
        <v>99</v>
      </c>
    </row>
    <row r="40" customFormat="false" ht="15" hidden="false" customHeight="false" outlineLevel="0" collapsed="false">
      <c r="A40" s="12" t="s">
        <v>97</v>
      </c>
      <c r="B40" s="12" t="s">
        <v>100</v>
      </c>
      <c r="C40" s="12" t="s">
        <v>101</v>
      </c>
      <c r="D40" s="13" t="n">
        <v>600</v>
      </c>
      <c r="E40" s="16" t="n">
        <f aca="false">IF(D40="","",D40/$B$4)</f>
        <v>3.79290726341741</v>
      </c>
      <c r="F40" s="15" t="n">
        <v>1</v>
      </c>
      <c r="G40" s="12" t="s">
        <v>49</v>
      </c>
      <c r="H40" s="16" t="n">
        <f aca="false">IF(E40="","",IF(G40="per room",E40*F40/$B$7,IF(G40="per group",E40*F40/$B$5,E40*F40)))</f>
        <v>3.79290726341741</v>
      </c>
      <c r="I40" s="12" t="s">
        <v>37</v>
      </c>
      <c r="J40" s="12" t="s">
        <v>102</v>
      </c>
    </row>
    <row r="41" customFormat="false" ht="26.85" hidden="false" customHeight="false" outlineLevel="0" collapsed="false">
      <c r="A41" s="12" t="s">
        <v>97</v>
      </c>
      <c r="B41" s="12" t="s">
        <v>103</v>
      </c>
      <c r="C41" s="12" t="s">
        <v>101</v>
      </c>
      <c r="D41" s="13" t="n">
        <v>500</v>
      </c>
      <c r="E41" s="16" t="n">
        <f aca="false">IF(D41="","",D41/$B$4)</f>
        <v>3.16075605284784</v>
      </c>
      <c r="F41" s="15" t="n">
        <v>0</v>
      </c>
      <c r="G41" s="12" t="s">
        <v>49</v>
      </c>
      <c r="H41" s="16" t="n">
        <f aca="false">IF(E41="","",IF(G41="per room",E41*F41/$B$7,IF(G41="per group",E41*F41/$B$5,E41*F41)))</f>
        <v>0</v>
      </c>
      <c r="I41" s="12" t="s">
        <v>37</v>
      </c>
      <c r="J41" s="12" t="s">
        <v>104</v>
      </c>
    </row>
    <row r="42" customFormat="false" ht="15" hidden="false" customHeight="false" outlineLevel="0" collapsed="false">
      <c r="A42" s="12" t="s">
        <v>97</v>
      </c>
      <c r="B42" s="12" t="s">
        <v>105</v>
      </c>
      <c r="C42" s="12" t="s">
        <v>101</v>
      </c>
      <c r="D42" s="13" t="n">
        <v>3000</v>
      </c>
      <c r="E42" s="16" t="n">
        <f aca="false">IF(D42="","",D42/$B$4)</f>
        <v>18.9645363170871</v>
      </c>
      <c r="F42" s="15" t="n">
        <v>1</v>
      </c>
      <c r="G42" s="12" t="s">
        <v>49</v>
      </c>
      <c r="H42" s="16" t="n">
        <f aca="false">IF(E42="","",IF(G42="per room",E42*F42/$B$7,IF(G42="per group",E42*F42/$B$5,E42*F42)))</f>
        <v>18.9645363170871</v>
      </c>
      <c r="I42" s="12" t="s">
        <v>37</v>
      </c>
      <c r="J42" s="12" t="s">
        <v>106</v>
      </c>
    </row>
    <row r="43" customFormat="false" ht="26.85" hidden="false" customHeight="false" outlineLevel="0" collapsed="false">
      <c r="A43" s="12" t="s">
        <v>97</v>
      </c>
      <c r="B43" s="12" t="s">
        <v>107</v>
      </c>
      <c r="C43" s="12" t="s">
        <v>58</v>
      </c>
      <c r="D43" s="13" t="n">
        <v>2500</v>
      </c>
      <c r="E43" s="16" t="n">
        <f aca="false">IF(D43="","",D43/$B$4)</f>
        <v>15.8037802642392</v>
      </c>
      <c r="F43" s="15" t="n">
        <v>1</v>
      </c>
      <c r="G43" s="12" t="s">
        <v>49</v>
      </c>
      <c r="H43" s="16" t="n">
        <f aca="false">IF(E43="","",IF(G43="per room",E43*F43/$B$7,IF(G43="per group",E43*F43/$B$5,E43*F43)))</f>
        <v>15.8037802642392</v>
      </c>
      <c r="I43" s="12" t="s">
        <v>37</v>
      </c>
      <c r="J43" s="12" t="s">
        <v>108</v>
      </c>
    </row>
    <row r="44" customFormat="false" ht="26.85" hidden="false" customHeight="false" outlineLevel="0" collapsed="false">
      <c r="A44" s="12" t="s">
        <v>97</v>
      </c>
      <c r="B44" s="12" t="s">
        <v>109</v>
      </c>
      <c r="C44" s="12" t="s">
        <v>94</v>
      </c>
      <c r="D44" s="13" t="n">
        <v>400</v>
      </c>
      <c r="E44" s="16" t="n">
        <f aca="false">IF(D44="","",D44/$B$4)</f>
        <v>2.52860484227827</v>
      </c>
      <c r="F44" s="15" t="n">
        <v>1</v>
      </c>
      <c r="G44" s="12" t="s">
        <v>49</v>
      </c>
      <c r="H44" s="16" t="n">
        <f aca="false">IF(E44="","",IF(G44="per room",E44*F44/$B$7,IF(G44="per group",E44*F44/$B$5,E44*F44)))</f>
        <v>2.52860484227827</v>
      </c>
      <c r="I44" s="12" t="s">
        <v>37</v>
      </c>
      <c r="J44" s="12" t="s">
        <v>110</v>
      </c>
    </row>
    <row r="45" customFormat="false" ht="26.85" hidden="false" customHeight="false" outlineLevel="0" collapsed="false">
      <c r="A45" s="12" t="s">
        <v>97</v>
      </c>
      <c r="B45" s="12" t="s">
        <v>111</v>
      </c>
      <c r="C45" s="12" t="s">
        <v>71</v>
      </c>
      <c r="D45" s="13" t="n">
        <v>4950</v>
      </c>
      <c r="E45" s="16" t="n">
        <f aca="false">IF(D45="","",D45/$B$4)</f>
        <v>31.2914849231936</v>
      </c>
      <c r="F45" s="15" t="n">
        <v>1</v>
      </c>
      <c r="G45" s="12" t="s">
        <v>49</v>
      </c>
      <c r="H45" s="16" t="n">
        <f aca="false">IF(E45="","",IF(G45="per room",E45*F45/$B$7,IF(G45="per group",E45*F45/$B$5,E45*F45)))</f>
        <v>31.2914849231936</v>
      </c>
      <c r="I45" s="12" t="s">
        <v>37</v>
      </c>
      <c r="J45" s="12" t="s">
        <v>112</v>
      </c>
    </row>
    <row r="46" customFormat="false" ht="15" hidden="false" customHeight="false" outlineLevel="0" collapsed="false">
      <c r="A46" s="10" t="s">
        <v>113</v>
      </c>
      <c r="B46" s="11"/>
      <c r="C46" s="11"/>
      <c r="D46" s="11"/>
      <c r="E46" s="11"/>
      <c r="F46" s="11"/>
      <c r="G46" s="11"/>
      <c r="H46" s="11"/>
      <c r="I46" s="11"/>
      <c r="J46" s="11"/>
    </row>
    <row r="47" customFormat="false" ht="26.85" hidden="false" customHeight="false" outlineLevel="0" collapsed="false">
      <c r="A47" s="12" t="s">
        <v>113</v>
      </c>
      <c r="B47" s="12" t="s">
        <v>114</v>
      </c>
      <c r="C47" s="12" t="s">
        <v>115</v>
      </c>
      <c r="D47" s="13" t="n">
        <v>1500</v>
      </c>
      <c r="E47" s="16" t="n">
        <f aca="false">IF(D47="","",D47/$B$4)</f>
        <v>9.48226815854352</v>
      </c>
      <c r="F47" s="15" t="n">
        <v>9</v>
      </c>
      <c r="G47" s="12" t="s">
        <v>49</v>
      </c>
      <c r="H47" s="16" t="n">
        <f aca="false">IF(E47="","",IF(G47="per room",E47*F47/$B$7,IF(G47="per group",E47*F47/$B$5,E47*F47)))</f>
        <v>85.3404134268917</v>
      </c>
      <c r="I47" s="12" t="s">
        <v>44</v>
      </c>
      <c r="J47" s="12" t="s">
        <v>116</v>
      </c>
    </row>
    <row r="48" customFormat="false" ht="26.85" hidden="false" customHeight="false" outlineLevel="0" collapsed="false">
      <c r="A48" s="12" t="s">
        <v>113</v>
      </c>
      <c r="B48" s="12" t="s">
        <v>117</v>
      </c>
      <c r="C48" s="12" t="s">
        <v>118</v>
      </c>
      <c r="D48" s="13" t="n">
        <v>2500</v>
      </c>
      <c r="E48" s="16" t="n">
        <f aca="false">IF(D48="","",D48/$B$4)</f>
        <v>15.8037802642392</v>
      </c>
      <c r="F48" s="15" t="n">
        <v>8</v>
      </c>
      <c r="G48" s="12" t="s">
        <v>49</v>
      </c>
      <c r="H48" s="16" t="n">
        <f aca="false">IF(E48="","",IF(G48="per room",E48*F48/$B$7,IF(G48="per group",E48*F48/$B$5,E48*F48)))</f>
        <v>126.430242113914</v>
      </c>
      <c r="I48" s="12" t="s">
        <v>44</v>
      </c>
      <c r="J48" s="12" t="s">
        <v>119</v>
      </c>
    </row>
    <row r="49" customFormat="false" ht="26.85" hidden="false" customHeight="false" outlineLevel="0" collapsed="false">
      <c r="A49" s="12" t="s">
        <v>113</v>
      </c>
      <c r="B49" s="12" t="s">
        <v>120</v>
      </c>
      <c r="C49" s="12" t="s">
        <v>121</v>
      </c>
      <c r="D49" s="13" t="n">
        <v>1000</v>
      </c>
      <c r="E49" s="16" t="n">
        <f aca="false">IF(D49="","",D49/$B$4)</f>
        <v>6.32151210569568</v>
      </c>
      <c r="F49" s="15" t="n">
        <v>8</v>
      </c>
      <c r="G49" s="12" t="s">
        <v>49</v>
      </c>
      <c r="H49" s="16" t="n">
        <f aca="false">IF(E49="","",IF(G49="per room",E49*F49/$B$7,IF(G49="per group",E49*F49/$B$5,E49*F49)))</f>
        <v>50.5720968455655</v>
      </c>
      <c r="I49" s="12" t="s">
        <v>44</v>
      </c>
      <c r="J49" s="12" t="s">
        <v>122</v>
      </c>
    </row>
    <row r="50" customFormat="false" ht="15" hidden="false" customHeight="false" outlineLevel="0" collapsed="false">
      <c r="A50" s="10" t="s">
        <v>123</v>
      </c>
      <c r="B50" s="11"/>
      <c r="C50" s="11"/>
      <c r="D50" s="11"/>
      <c r="E50" s="11"/>
      <c r="F50" s="11"/>
      <c r="G50" s="11"/>
      <c r="H50" s="11"/>
      <c r="I50" s="11"/>
      <c r="J50" s="11"/>
    </row>
    <row r="51" customFormat="false" ht="39.55" hidden="false" customHeight="false" outlineLevel="0" collapsed="false">
      <c r="A51" s="12" t="s">
        <v>123</v>
      </c>
      <c r="B51" s="12" t="s">
        <v>124</v>
      </c>
      <c r="C51" s="12" t="s">
        <v>125</v>
      </c>
      <c r="D51" s="12"/>
      <c r="E51" s="12"/>
      <c r="F51" s="12"/>
      <c r="G51" s="12" t="s">
        <v>126</v>
      </c>
      <c r="H51" s="16" t="n">
        <f aca="false">$B$9*('Room Pricing'!$C$11+SUMIFS(H12:H49,G12:G49,"per person"))/$B$5</f>
        <v>185.160871947236</v>
      </c>
      <c r="I51" s="12" t="s">
        <v>127</v>
      </c>
      <c r="J51" s="12" t="s">
        <v>128</v>
      </c>
    </row>
    <row r="53" customFormat="false" ht="15" hidden="false" customHeight="false" outlineLevel="0" collapsed="false">
      <c r="A53" s="20" t="s">
        <v>129</v>
      </c>
    </row>
    <row r="54" customFormat="false" ht="15" hidden="false" customHeight="false" outlineLevel="0" collapsed="false">
      <c r="A54" s="3" t="s">
        <v>130</v>
      </c>
      <c r="B54" s="21" t="n">
        <f aca="false">SUM(H12:H51)</f>
        <v>2257.13248835788</v>
      </c>
    </row>
    <row r="55" customFormat="false" ht="15" hidden="false" customHeight="false" outlineLevel="0" collapsed="false">
      <c r="A55" s="3" t="s">
        <v>131</v>
      </c>
      <c r="B55" s="21" t="n">
        <f aca="false">$B$6</f>
        <v>2750</v>
      </c>
    </row>
    <row r="56" customFormat="false" ht="15" hidden="false" customHeight="false" outlineLevel="0" collapsed="false">
      <c r="A56" s="22" t="s">
        <v>132</v>
      </c>
      <c r="B56" s="7" t="n">
        <f aca="false">B55-B54</f>
        <v>492.867511642118</v>
      </c>
    </row>
    <row r="57" customFormat="false" ht="15" hidden="false" customHeight="false" outlineLevel="0" collapsed="false">
      <c r="A57" s="22" t="s">
        <v>133</v>
      </c>
      <c r="B57" s="23" t="n">
        <f aca="false">IF(B55=0,0,B56/B55)</f>
        <v>0.179224549688043</v>
      </c>
    </row>
    <row r="58" customFormat="false" ht="15" hidden="false" customHeight="false" outlineLevel="0" collapsed="false">
      <c r="A58" s="3" t="s">
        <v>134</v>
      </c>
      <c r="B58" s="21" t="n">
        <f aca="false">B55*$B$5</f>
        <v>33000</v>
      </c>
    </row>
    <row r="59" customFormat="false" ht="15" hidden="false" customHeight="false" outlineLevel="0" collapsed="false">
      <c r="A59" s="3" t="s">
        <v>135</v>
      </c>
      <c r="B59" s="21" t="n">
        <f aca="false">B54*$B$5</f>
        <v>27085.5898602946</v>
      </c>
    </row>
    <row r="60" customFormat="false" ht="15" hidden="false" customHeight="false" outlineLevel="0" collapsed="false">
      <c r="A60" s="3" t="s">
        <v>136</v>
      </c>
      <c r="B60" s="21" t="n">
        <f aca="false">B58-B59</f>
        <v>5914.41013970542</v>
      </c>
    </row>
    <row r="61" customFormat="false" ht="15" hidden="false" customHeight="false" outlineLevel="0" collapsed="false">
      <c r="A61" s="3" t="s">
        <v>137</v>
      </c>
      <c r="B61" s="24" t="n">
        <f aca="false">COUNTIF(I12:I49,"MISSING")</f>
        <v>1</v>
      </c>
    </row>
    <row r="62" customFormat="false" ht="15" hidden="false" customHeight="false" outlineLevel="0" collapsed="false">
      <c r="A62" s="3" t="s">
        <v>138</v>
      </c>
      <c r="B62" s="21" t="n">
        <f aca="false">'Room Pricing'!G14-'Room Pricing'!G15</f>
        <v>470</v>
      </c>
    </row>
    <row r="64" customFormat="false" ht="15" hidden="false" customHeight="false" outlineLevel="0" collapsed="false">
      <c r="A64" s="22" t="s">
        <v>139</v>
      </c>
    </row>
    <row r="65" customFormat="false" ht="15" hidden="false" customHeight="false" outlineLevel="0" collapsed="false">
      <c r="A65" s="3" t="s">
        <v>23</v>
      </c>
      <c r="B65" s="21" t="n">
        <f aca="false">SUMIFS(H12:H51,A12:A51,"Lodging")</f>
        <v>755.81699222454</v>
      </c>
    </row>
    <row r="66" customFormat="false" ht="15" hidden="false" customHeight="false" outlineLevel="0" collapsed="false">
      <c r="A66" s="3" t="s">
        <v>46</v>
      </c>
      <c r="B66" s="21" t="n">
        <f aca="false">SUMIFS(H12:H51,A12:A51,"Transport")</f>
        <v>375.750679562551</v>
      </c>
    </row>
    <row r="67" customFormat="false" ht="15" hidden="false" customHeight="false" outlineLevel="0" collapsed="false">
      <c r="A67" s="3" t="s">
        <v>80</v>
      </c>
      <c r="B67" s="21" t="n">
        <f aca="false">SUMIFS(H12:H51,A12:A51,"Training")</f>
        <v>599.358366521272</v>
      </c>
    </row>
    <row r="68" customFormat="false" ht="15" hidden="false" customHeight="false" outlineLevel="0" collapsed="false">
      <c r="A68" s="3" t="s">
        <v>97</v>
      </c>
      <c r="B68" s="21" t="n">
        <f aca="false">SUMIFS(H12:H51,A12:A51,"Admissions")</f>
        <v>78.7028257159113</v>
      </c>
    </row>
    <row r="69" customFormat="false" ht="15" hidden="false" customHeight="false" outlineLevel="0" collapsed="false">
      <c r="A69" s="3" t="s">
        <v>113</v>
      </c>
      <c r="B69" s="21" t="n">
        <f aca="false">SUMIFS(H12:H51,A12:A51,"Group meals")</f>
        <v>262.342752386371</v>
      </c>
    </row>
    <row r="70" customFormat="false" ht="15" hidden="false" customHeight="false" outlineLevel="0" collapsed="false">
      <c r="A70" s="3" t="s">
        <v>123</v>
      </c>
      <c r="B70" s="21" t="n">
        <f aca="false">SUMIFS(H12:H51,A12:A51,"Leader")</f>
        <v>185.160871947236</v>
      </c>
    </row>
    <row r="72" customFormat="false" ht="15" hidden="false" customHeight="false" outlineLevel="0" collapsed="false">
      <c r="A72" s="2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5" min="3" style="0" width="16"/>
    <col collapsed="false" customWidth="true" hidden="false" outlineLevel="0" max="6" min="6" style="0" width="60"/>
    <col collapsed="false" customWidth="true" hidden="false" outlineLevel="0" max="8" min="7" style="0" width="14"/>
  </cols>
  <sheetData>
    <row r="1" customFormat="false" ht="17.35" hidden="false" customHeight="false" outlineLevel="0" collapsed="false">
      <c r="A1" s="1" t="s">
        <v>141</v>
      </c>
    </row>
    <row r="2" customFormat="false" ht="15" hidden="false" customHeight="false" outlineLevel="0" collapsed="false">
      <c r="A2" s="2" t="s">
        <v>142</v>
      </c>
    </row>
    <row r="4" customFormat="false" ht="26.85" hidden="false" customHeight="false" outlineLevel="0" collapsed="false">
      <c r="A4" s="25" t="s">
        <v>143</v>
      </c>
      <c r="B4" s="25" t="s">
        <v>144</v>
      </c>
      <c r="C4" s="25" t="s">
        <v>145</v>
      </c>
      <c r="D4" s="25" t="s">
        <v>146</v>
      </c>
      <c r="E4" s="25" t="s">
        <v>147</v>
      </c>
      <c r="F4" s="25" t="s">
        <v>148</v>
      </c>
    </row>
    <row r="5" customFormat="false" ht="45" hidden="false" customHeight="true" outlineLevel="0" collapsed="false">
      <c r="A5" s="3" t="s">
        <v>149</v>
      </c>
      <c r="B5" s="3" t="n">
        <v>3</v>
      </c>
      <c r="C5" s="26" t="n">
        <v>230</v>
      </c>
      <c r="D5" s="27" t="n">
        <f aca="false">'Tour Cost'!E13*'Tour Cost'!F13</f>
        <v>315</v>
      </c>
      <c r="E5" s="26" t="n">
        <v>579</v>
      </c>
      <c r="F5" s="28" t="s">
        <v>150</v>
      </c>
    </row>
    <row r="6" customFormat="false" ht="45" hidden="false" customHeight="true" outlineLevel="0" collapsed="false">
      <c r="A6" s="3" t="s">
        <v>151</v>
      </c>
      <c r="B6" s="3" t="n">
        <v>4</v>
      </c>
      <c r="C6" s="26" t="n">
        <v>324</v>
      </c>
      <c r="D6" s="27" t="n">
        <f aca="false">'Tour Cost'!E14*'Tour Cost'!F14</f>
        <v>324</v>
      </c>
      <c r="E6" s="27" t="n">
        <f aca="false">2*D6</f>
        <v>648</v>
      </c>
      <c r="F6" s="28" t="s">
        <v>152</v>
      </c>
    </row>
    <row r="7" customFormat="false" ht="45" hidden="false" customHeight="true" outlineLevel="0" collapsed="false">
      <c r="A7" s="3" t="s">
        <v>153</v>
      </c>
      <c r="B7" s="3" t="n">
        <v>1</v>
      </c>
      <c r="C7" s="26" t="n">
        <v>254</v>
      </c>
      <c r="D7" s="27" t="n">
        <f aca="false">'Tour Cost'!E15*'Tour Cost'!F15</f>
        <v>254</v>
      </c>
      <c r="E7" s="26" t="n">
        <v>485</v>
      </c>
      <c r="F7" s="28" t="s">
        <v>154</v>
      </c>
    </row>
    <row r="8" customFormat="false" ht="45" hidden="false" customHeight="true" outlineLevel="0" collapsed="false">
      <c r="A8" s="3" t="s">
        <v>155</v>
      </c>
      <c r="B8" s="3" t="n">
        <v>2</v>
      </c>
      <c r="C8" s="27" t="n">
        <f aca="false">18400*2/'Tour Cost'!$B$4</f>
        <v>232.631645489601</v>
      </c>
      <c r="D8" s="27" t="n">
        <f aca="false">'Tour Cost'!E16*'Tour Cost'!F16</f>
        <v>409.63398444908</v>
      </c>
      <c r="E8" s="27" t="n">
        <f aca="false">2*D8</f>
        <v>819.267968898161</v>
      </c>
      <c r="F8" s="28" t="s">
        <v>156</v>
      </c>
    </row>
    <row r="9" customFormat="false" ht="45" hidden="false" customHeight="true" outlineLevel="0" collapsed="false">
      <c r="A9" s="3" t="s">
        <v>157</v>
      </c>
      <c r="B9" s="3" t="n">
        <v>1</v>
      </c>
      <c r="C9" s="26" t="n">
        <v>104</v>
      </c>
      <c r="D9" s="27" t="n">
        <f aca="false">'Tour Cost'!E17*'Tour Cost'!F17</f>
        <v>104</v>
      </c>
      <c r="E9" s="27" t="n">
        <f aca="false">2*D9</f>
        <v>208</v>
      </c>
      <c r="F9" s="28" t="s">
        <v>158</v>
      </c>
    </row>
    <row r="10" customFormat="false" ht="45" hidden="false" customHeight="true" outlineLevel="0" collapsed="false">
      <c r="A10" s="3" t="s">
        <v>159</v>
      </c>
      <c r="B10" s="3" t="n">
        <v>1</v>
      </c>
      <c r="C10" s="27" t="n">
        <f aca="false">C5/3</f>
        <v>76.6666666666667</v>
      </c>
      <c r="D10" s="27" t="n">
        <f aca="false">'Tour Cost'!E18*'Tour Cost'!F18</f>
        <v>105</v>
      </c>
      <c r="E10" s="27" t="n">
        <f aca="false">E5/3</f>
        <v>193</v>
      </c>
      <c r="F10" s="28" t="s">
        <v>160</v>
      </c>
    </row>
    <row r="11" customFormat="false" ht="15" hidden="false" customHeight="false" outlineLevel="0" collapsed="false">
      <c r="A11" s="22" t="s">
        <v>161</v>
      </c>
      <c r="C11" s="29" t="n">
        <f aca="false">SUM(C5:C10)</f>
        <v>1221.29831215627</v>
      </c>
      <c r="D11" s="29" t="n">
        <f aca="false">SUM(D5:D10)</f>
        <v>1511.63398444908</v>
      </c>
      <c r="E11" s="29" t="n">
        <f aca="false">SUM(E5:E10)</f>
        <v>2932.26796889816</v>
      </c>
    </row>
    <row r="13" customFormat="false" ht="26.85" hidden="false" customHeight="false" outlineLevel="0" collapsed="false">
      <c r="A13" s="25" t="s">
        <v>162</v>
      </c>
      <c r="B13" s="25" t="s">
        <v>163</v>
      </c>
      <c r="C13" s="25" t="s">
        <v>164</v>
      </c>
      <c r="D13" s="25" t="s">
        <v>165</v>
      </c>
      <c r="E13" s="25" t="s">
        <v>166</v>
      </c>
      <c r="F13" s="25" t="s">
        <v>167</v>
      </c>
      <c r="G13" s="25" t="s">
        <v>168</v>
      </c>
      <c r="H13" s="25" t="s">
        <v>169</v>
      </c>
    </row>
    <row r="14" customFormat="false" ht="15" hidden="false" customHeight="false" outlineLevel="0" collapsed="false">
      <c r="A14" s="3" t="s">
        <v>170</v>
      </c>
      <c r="B14" s="3" t="n">
        <v>1</v>
      </c>
      <c r="C14" s="21" t="n">
        <f aca="false">C11</f>
        <v>1221.29831215627</v>
      </c>
      <c r="D14" s="21" t="n">
        <f aca="false">SUMIFS('Tour Cost'!H12:H49,'Tour Cost'!G12:G49,"per person")+SUMIFS('Tour Cost'!H12:H49,'Tour Cost'!G12:G49,"per group")</f>
        <v>1316.15462418611</v>
      </c>
      <c r="E14" s="21" t="n">
        <f aca="false">'Tour Cost'!H51</f>
        <v>185.160871947236</v>
      </c>
      <c r="F14" s="21" t="n">
        <f aca="false">C14+D14+E14</f>
        <v>2722.61380828961</v>
      </c>
      <c r="G14" s="7" t="n">
        <f aca="false">ROUNDDOWN(F14+'Tour Cost'!B8,-1)</f>
        <v>3220</v>
      </c>
      <c r="H14" s="21" t="n">
        <f aca="false">G14-F14</f>
        <v>497.38619171039</v>
      </c>
    </row>
    <row r="15" customFormat="false" ht="15" hidden="false" customHeight="false" outlineLevel="0" collapsed="false">
      <c r="A15" s="3" t="s">
        <v>171</v>
      </c>
      <c r="B15" s="3" t="n">
        <v>2</v>
      </c>
      <c r="C15" s="21" t="n">
        <f aca="false">D11/2</f>
        <v>755.81699222454</v>
      </c>
      <c r="D15" s="21" t="n">
        <f aca="false">SUMIFS('Tour Cost'!H12:H49,'Tour Cost'!G12:G49,"per person")+SUMIFS('Tour Cost'!H12:H49,'Tour Cost'!G12:G49,"per group")</f>
        <v>1316.15462418611</v>
      </c>
      <c r="E15" s="21" t="n">
        <f aca="false">'Tour Cost'!H51</f>
        <v>185.160871947236</v>
      </c>
      <c r="F15" s="21" t="n">
        <f aca="false">C15+D15+E15</f>
        <v>2257.13248835788</v>
      </c>
      <c r="G15" s="7" t="n">
        <f aca="false">ROUNDDOWN(F15+'Tour Cost'!B8,-1)</f>
        <v>2750</v>
      </c>
      <c r="H15" s="21" t="n">
        <f aca="false">G15-F15</f>
        <v>492.867511642118</v>
      </c>
    </row>
    <row r="16" customFormat="false" ht="15" hidden="false" customHeight="false" outlineLevel="0" collapsed="false">
      <c r="A16" s="3" t="s">
        <v>172</v>
      </c>
      <c r="B16" s="3" t="n">
        <v>4</v>
      </c>
      <c r="C16" s="21" t="n">
        <f aca="false">E11/4</f>
        <v>733.06699222454</v>
      </c>
      <c r="D16" s="21" t="n">
        <f aca="false">SUMIFS('Tour Cost'!H12:H49,'Tour Cost'!G12:G49,"per person")+SUMIFS('Tour Cost'!H12:H49,'Tour Cost'!G12:G49,"per group")</f>
        <v>1316.15462418611</v>
      </c>
      <c r="E16" s="21" t="n">
        <f aca="false">'Tour Cost'!H51</f>
        <v>185.160871947236</v>
      </c>
      <c r="F16" s="21" t="n">
        <f aca="false">C16+D16+E16</f>
        <v>2234.38248835788</v>
      </c>
      <c r="G16" s="7" t="n">
        <f aca="false">ROUNDDOWN(F16+'Tour Cost'!B8,-1)</f>
        <v>2730</v>
      </c>
      <c r="H16" s="21" t="n">
        <f aca="false">G16-F16</f>
        <v>495.617511642118</v>
      </c>
    </row>
    <row r="19" customFormat="false" ht="15" hidden="false" customHeight="false" outlineLevel="0" collapsed="false">
      <c r="A19" s="20" t="s">
        <v>173</v>
      </c>
    </row>
    <row r="20" customFormat="false" ht="15" hidden="false" customHeight="false" outlineLevel="0" collapsed="false">
      <c r="A20" s="3" t="s">
        <v>174</v>
      </c>
      <c r="B20" s="6" t="n">
        <v>0</v>
      </c>
    </row>
    <row r="21" customFormat="false" ht="15" hidden="false" customHeight="false" outlineLevel="0" collapsed="false">
      <c r="A21" s="3" t="s">
        <v>175</v>
      </c>
      <c r="B21" s="3" t="n">
        <f aca="false">B20+2*B22+4*B23</f>
        <v>12</v>
      </c>
    </row>
    <row r="22" customFormat="false" ht="15" hidden="false" customHeight="false" outlineLevel="0" collapsed="false">
      <c r="A22" s="3" t="s">
        <v>176</v>
      </c>
      <c r="B22" s="6" t="n">
        <v>6</v>
      </c>
    </row>
    <row r="23" customFormat="false" ht="15" hidden="false" customHeight="false" outlineLevel="0" collapsed="false">
      <c r="A23" s="3" t="s">
        <v>177</v>
      </c>
      <c r="B23" s="6" t="n">
        <v>0</v>
      </c>
    </row>
    <row r="24" customFormat="false" ht="15" hidden="false" customHeight="false" outlineLevel="0" collapsed="false">
      <c r="A24" s="0" t="s">
        <v>178</v>
      </c>
      <c r="B24" s="21" t="n">
        <f aca="false">B20*G14+2*B22*G15+4*B23*G16</f>
        <v>33000</v>
      </c>
    </row>
    <row r="25" customFormat="false" ht="15" hidden="false" customHeight="false" outlineLevel="0" collapsed="false">
      <c r="A25" s="0" t="s">
        <v>179</v>
      </c>
      <c r="B25" s="21" t="n">
        <f aca="false">B20*F14+2*B22*F15+4*B23*F16</f>
        <v>27085.5898602946</v>
      </c>
    </row>
    <row r="26" customFormat="false" ht="15" hidden="false" customHeight="false" outlineLevel="0" collapsed="false">
      <c r="A26" s="22" t="s">
        <v>180</v>
      </c>
      <c r="B26" s="7" t="n">
        <f aca="false">B24-B25</f>
        <v>5914.41013970541</v>
      </c>
    </row>
    <row r="27" customFormat="false" ht="15" hidden="false" customHeight="false" outlineLevel="0" collapsed="false">
      <c r="A27" s="2" t="s">
        <v>181</v>
      </c>
    </row>
    <row r="29" customFormat="false" ht="15" hidden="false" customHeight="false" outlineLevel="0" collapsed="false">
      <c r="A29" s="20" t="s">
        <v>182</v>
      </c>
    </row>
    <row r="30" customFormat="false" ht="15" hidden="false" customHeight="false" outlineLevel="0" collapsed="false">
      <c r="A30" s="30" t="s">
        <v>183</v>
      </c>
      <c r="B30" s="30" t="s">
        <v>174</v>
      </c>
      <c r="C30" s="30" t="s">
        <v>176</v>
      </c>
      <c r="D30" s="30" t="s">
        <v>177</v>
      </c>
      <c r="E30" s="30" t="s">
        <v>178</v>
      </c>
      <c r="F30" s="30" t="s">
        <v>179</v>
      </c>
      <c r="G30" s="30" t="s">
        <v>180</v>
      </c>
    </row>
    <row r="31" customFormat="false" ht="15" hidden="false" customHeight="false" outlineLevel="0" collapsed="false">
      <c r="A31" s="3" t="s">
        <v>184</v>
      </c>
      <c r="B31" s="3" t="n">
        <v>0</v>
      </c>
      <c r="C31" s="3" t="n">
        <v>6</v>
      </c>
      <c r="D31" s="3" t="n">
        <v>0</v>
      </c>
      <c r="E31" s="21" t="n">
        <f aca="false">B31*$G$14+2*C31*$G$15+4*D31*$G$16</f>
        <v>33000</v>
      </c>
      <c r="F31" s="21" t="n">
        <f aca="false">B31*$F$14+2*C31*$F$15+4*D31*$F$16</f>
        <v>27085.5898602946</v>
      </c>
      <c r="G31" s="21" t="n">
        <f aca="false">E31-F31</f>
        <v>5914.41013970541</v>
      </c>
    </row>
    <row r="32" customFormat="false" ht="15" hidden="false" customHeight="false" outlineLevel="0" collapsed="false">
      <c r="A32" s="3" t="s">
        <v>185</v>
      </c>
      <c r="B32" s="3" t="n">
        <v>2</v>
      </c>
      <c r="C32" s="3" t="n">
        <v>5</v>
      </c>
      <c r="D32" s="3" t="n">
        <v>0</v>
      </c>
      <c r="E32" s="21" t="n">
        <f aca="false">B32*$G$14+2*C32*$G$15+4*D32*$G$16</f>
        <v>33940</v>
      </c>
      <c r="F32" s="21" t="n">
        <f aca="false">B32*$F$14+2*C32*$F$15+4*D32*$F$16</f>
        <v>28016.552500158</v>
      </c>
      <c r="G32" s="21" t="n">
        <f aca="false">E32-F32</f>
        <v>5923.44749984196</v>
      </c>
    </row>
    <row r="33" customFormat="false" ht="15" hidden="false" customHeight="false" outlineLevel="0" collapsed="false">
      <c r="A33" s="3" t="s">
        <v>186</v>
      </c>
      <c r="B33" s="3" t="n">
        <v>4</v>
      </c>
      <c r="C33" s="3" t="n">
        <v>4</v>
      </c>
      <c r="D33" s="3" t="n">
        <v>0</v>
      </c>
      <c r="E33" s="21" t="n">
        <f aca="false">B33*$G$14+2*C33*$G$15+4*D33*$G$16</f>
        <v>34880</v>
      </c>
      <c r="F33" s="21" t="n">
        <f aca="false">B33*$F$14+2*C33*$F$15+4*D33*$F$16</f>
        <v>28947.5151400215</v>
      </c>
      <c r="G33" s="21" t="n">
        <f aca="false">E33-F33</f>
        <v>5932.4848599785</v>
      </c>
    </row>
    <row r="34" customFormat="false" ht="15" hidden="false" customHeight="false" outlineLevel="0" collapsed="false">
      <c r="A34" s="3" t="s">
        <v>187</v>
      </c>
      <c r="B34" s="3" t="n">
        <v>0</v>
      </c>
      <c r="C34" s="3" t="n">
        <v>4</v>
      </c>
      <c r="D34" s="3" t="n">
        <v>1</v>
      </c>
      <c r="E34" s="21" t="n">
        <f aca="false">B34*$G$14+2*C34*$G$15+4*D34*$G$16</f>
        <v>32920</v>
      </c>
      <c r="F34" s="21" t="n">
        <f aca="false">B34*$F$14+2*C34*$F$15+4*D34*$F$16</f>
        <v>26994.5898602946</v>
      </c>
      <c r="G34" s="21" t="n">
        <f aca="false">E34-F34</f>
        <v>5925.41013970541</v>
      </c>
    </row>
    <row r="35" customFormat="false" ht="15" hidden="false" customHeight="false" outlineLevel="0" collapsed="false">
      <c r="A35" s="3" t="s">
        <v>188</v>
      </c>
      <c r="B35" s="3" t="n">
        <v>2</v>
      </c>
      <c r="C35" s="3" t="n">
        <v>3</v>
      </c>
      <c r="D35" s="3" t="n">
        <v>1</v>
      </c>
      <c r="E35" s="21" t="n">
        <f aca="false">B35*$G$14+2*C35*$G$15+4*D35*$G$16</f>
        <v>33860</v>
      </c>
      <c r="F35" s="21" t="n">
        <f aca="false">B35*$F$14+2*C35*$F$15+4*D35*$F$16</f>
        <v>27925.552500158</v>
      </c>
      <c r="G35" s="21" t="n">
        <f aca="false">E35-F35</f>
        <v>5934.44749984195</v>
      </c>
    </row>
    <row r="36" customFormat="false" ht="15" hidden="false" customHeight="false" outlineLevel="0" collapsed="false">
      <c r="A36" s="3" t="s">
        <v>189</v>
      </c>
      <c r="B36" s="3" t="n">
        <v>0</v>
      </c>
      <c r="C36" s="3" t="n">
        <v>0</v>
      </c>
      <c r="D36" s="3" t="n">
        <v>3</v>
      </c>
      <c r="E36" s="21" t="n">
        <f aca="false">B36*$G$14+2*C36*$G$15+4*D36*$G$16</f>
        <v>32760</v>
      </c>
      <c r="F36" s="21" t="n">
        <f aca="false">B36*$F$14+2*C36*$F$15+4*D36*$F$16</f>
        <v>26812.5898602946</v>
      </c>
      <c r="G36" s="21" t="n">
        <f aca="false">E36-F36</f>
        <v>5947.41013970541</v>
      </c>
    </row>
    <row r="38" customFormat="false" ht="15" hidden="false" customHeight="false" outlineLevel="0" collapsed="false">
      <c r="A38" s="2" t="s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8" min="6" style="0" width="16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" t="s">
        <v>191</v>
      </c>
    </row>
    <row r="2" customFormat="false" ht="45" hidden="false" customHeight="true" outlineLevel="0" collapsed="false">
      <c r="A2" s="31" t="s">
        <v>192</v>
      </c>
      <c r="B2" s="31"/>
      <c r="C2" s="31"/>
      <c r="D2" s="31"/>
      <c r="E2" s="31"/>
      <c r="F2" s="31"/>
      <c r="G2" s="31"/>
      <c r="H2" s="31"/>
    </row>
    <row r="4" customFormat="false" ht="26.85" hidden="false" customHeight="false" outlineLevel="0" collapsed="false">
      <c r="A4" s="25" t="s">
        <v>143</v>
      </c>
      <c r="B4" s="25" t="s">
        <v>144</v>
      </c>
      <c r="C4" s="25" t="s">
        <v>193</v>
      </c>
      <c r="D4" s="25" t="s">
        <v>194</v>
      </c>
      <c r="E4" s="25" t="s">
        <v>195</v>
      </c>
      <c r="F4" s="25" t="s">
        <v>145</v>
      </c>
      <c r="G4" s="25" t="s">
        <v>146</v>
      </c>
      <c r="H4" s="25" t="s">
        <v>147</v>
      </c>
    </row>
    <row r="5" customFormat="false" ht="15" hidden="false" customHeight="false" outlineLevel="0" collapsed="false">
      <c r="A5" s="3" t="s">
        <v>196</v>
      </c>
      <c r="B5" s="3" t="n">
        <v>3</v>
      </c>
      <c r="C5" s="3" t="s">
        <v>197</v>
      </c>
      <c r="D5" s="3" t="s">
        <v>198</v>
      </c>
      <c r="E5" s="3" t="s">
        <v>199</v>
      </c>
      <c r="F5" s="8" t="n">
        <v>230</v>
      </c>
      <c r="G5" s="8" t="n">
        <v>315</v>
      </c>
      <c r="H5" s="8" t="n">
        <v>579</v>
      </c>
    </row>
    <row r="6" customFormat="false" ht="15" hidden="false" customHeight="false" outlineLevel="0" collapsed="false">
      <c r="A6" s="3" t="s">
        <v>196</v>
      </c>
      <c r="B6" s="3" t="n">
        <v>3</v>
      </c>
      <c r="C6" s="3" t="s">
        <v>200</v>
      </c>
      <c r="D6" s="3" t="s">
        <v>201</v>
      </c>
      <c r="E6" s="3" t="s">
        <v>199</v>
      </c>
      <c r="F6" s="8" t="n">
        <v>530</v>
      </c>
      <c r="G6" s="8" t="n">
        <v>530</v>
      </c>
      <c r="H6" s="8" t="n">
        <v>1060</v>
      </c>
    </row>
    <row r="7" customFormat="false" ht="15" hidden="false" customHeight="false" outlineLevel="0" collapsed="false">
      <c r="A7" s="3" t="s">
        <v>196</v>
      </c>
      <c r="B7" s="3" t="n">
        <v>3</v>
      </c>
      <c r="C7" s="3" t="s">
        <v>202</v>
      </c>
      <c r="D7" s="3" t="s">
        <v>203</v>
      </c>
      <c r="E7" s="3" t="s">
        <v>204</v>
      </c>
      <c r="F7" s="8" t="n">
        <v>824</v>
      </c>
      <c r="G7" s="8" t="n">
        <v>1419</v>
      </c>
      <c r="H7" s="8" t="n">
        <v>2838</v>
      </c>
    </row>
    <row r="8" customFormat="false" ht="15" hidden="false" customHeight="false" outlineLevel="0" collapsed="false">
      <c r="A8" s="3" t="s">
        <v>205</v>
      </c>
      <c r="B8" s="3" t="n">
        <v>4</v>
      </c>
      <c r="C8" s="3" t="s">
        <v>197</v>
      </c>
      <c r="D8" s="3" t="s">
        <v>206</v>
      </c>
      <c r="E8" s="3" t="s">
        <v>207</v>
      </c>
      <c r="F8" s="8" t="n">
        <v>324</v>
      </c>
      <c r="G8" s="8" t="n">
        <v>324</v>
      </c>
      <c r="H8" s="8" t="n">
        <v>648</v>
      </c>
    </row>
    <row r="9" customFormat="false" ht="15" hidden="false" customHeight="false" outlineLevel="0" collapsed="false">
      <c r="A9" s="3" t="s">
        <v>205</v>
      </c>
      <c r="B9" s="3" t="n">
        <v>4</v>
      </c>
      <c r="C9" s="3" t="s">
        <v>200</v>
      </c>
      <c r="D9" s="3" t="s">
        <v>208</v>
      </c>
      <c r="E9" s="3" t="s">
        <v>207</v>
      </c>
      <c r="F9" s="8" t="n">
        <v>564</v>
      </c>
      <c r="G9" s="8" t="n">
        <v>464</v>
      </c>
      <c r="H9" s="8" t="n">
        <v>928</v>
      </c>
    </row>
    <row r="10" customFormat="false" ht="15" hidden="false" customHeight="false" outlineLevel="0" collapsed="false">
      <c r="A10" s="3" t="s">
        <v>205</v>
      </c>
      <c r="B10" s="3" t="n">
        <v>4</v>
      </c>
      <c r="C10" s="3" t="s">
        <v>202</v>
      </c>
      <c r="D10" s="3" t="s">
        <v>209</v>
      </c>
      <c r="E10" s="3" t="s">
        <v>210</v>
      </c>
      <c r="F10" s="8" t="n">
        <v>937</v>
      </c>
      <c r="G10" s="8" t="n">
        <v>976</v>
      </c>
      <c r="H10" s="8" t="n">
        <v>1952</v>
      </c>
    </row>
    <row r="11" customFormat="false" ht="15" hidden="false" customHeight="false" outlineLevel="0" collapsed="false">
      <c r="A11" s="3" t="s">
        <v>211</v>
      </c>
      <c r="B11" s="3" t="n">
        <v>1</v>
      </c>
      <c r="C11" s="3" t="s">
        <v>197</v>
      </c>
      <c r="D11" s="3" t="s">
        <v>212</v>
      </c>
      <c r="E11" s="3" t="s">
        <v>211</v>
      </c>
      <c r="F11" s="8" t="n">
        <v>254</v>
      </c>
      <c r="G11" s="8" t="n">
        <v>254</v>
      </c>
      <c r="H11" s="8" t="n">
        <v>485</v>
      </c>
    </row>
    <row r="12" customFormat="false" ht="15" hidden="false" customHeight="false" outlineLevel="0" collapsed="false">
      <c r="A12" s="3" t="s">
        <v>211</v>
      </c>
      <c r="B12" s="3" t="n">
        <v>1</v>
      </c>
      <c r="C12" s="3" t="s">
        <v>200</v>
      </c>
      <c r="D12" s="3" t="s">
        <v>212</v>
      </c>
      <c r="E12" s="3" t="s">
        <v>211</v>
      </c>
      <c r="F12" s="8" t="n">
        <v>254</v>
      </c>
      <c r="G12" s="8" t="n">
        <v>254</v>
      </c>
      <c r="H12" s="8" t="n">
        <v>485</v>
      </c>
    </row>
    <row r="13" customFormat="false" ht="15" hidden="false" customHeight="false" outlineLevel="0" collapsed="false">
      <c r="A13" s="3" t="s">
        <v>211</v>
      </c>
      <c r="B13" s="3" t="n">
        <v>1</v>
      </c>
      <c r="C13" s="3" t="s">
        <v>202</v>
      </c>
      <c r="D13" s="3" t="s">
        <v>213</v>
      </c>
      <c r="E13" s="3" t="s">
        <v>211</v>
      </c>
      <c r="F13" s="8" t="n">
        <v>969</v>
      </c>
      <c r="G13" s="8" t="n">
        <v>1008</v>
      </c>
      <c r="H13" s="8" t="n">
        <v>1897</v>
      </c>
    </row>
    <row r="14" customFormat="false" ht="15" hidden="false" customHeight="false" outlineLevel="0" collapsed="false">
      <c r="A14" s="3" t="s">
        <v>214</v>
      </c>
      <c r="B14" s="3" t="n">
        <v>2</v>
      </c>
      <c r="C14" s="3" t="s">
        <v>215</v>
      </c>
      <c r="D14" s="3" t="str">
        <f aca="false">'Room Pricing'!A8</f>
        <v>Chikatsuyu, Minshuku Chikatsuyu</v>
      </c>
      <c r="E14" s="3" t="s">
        <v>214</v>
      </c>
      <c r="F14" s="21" t="n">
        <f aca="false">'Room Pricing'!C8</f>
        <v>232.631645489601</v>
      </c>
      <c r="G14" s="21" t="n">
        <f aca="false">'Room Pricing'!D8</f>
        <v>409.63398444908</v>
      </c>
      <c r="H14" s="21" t="n">
        <f aca="false">'Room Pricing'!E8</f>
        <v>819.267968898161</v>
      </c>
    </row>
    <row r="15" customFormat="false" ht="15" hidden="false" customHeight="false" outlineLevel="0" collapsed="false">
      <c r="A15" s="3" t="s">
        <v>216</v>
      </c>
      <c r="B15" s="3" t="n">
        <v>1</v>
      </c>
      <c r="C15" s="3" t="s">
        <v>215</v>
      </c>
      <c r="D15" s="3" t="str">
        <f aca="false">'Room Pricing'!A9</f>
        <v>Shingu, Hotel New Palace</v>
      </c>
      <c r="E15" s="3" t="s">
        <v>216</v>
      </c>
      <c r="F15" s="21" t="n">
        <f aca="false">'Room Pricing'!C9</f>
        <v>104</v>
      </c>
      <c r="G15" s="21" t="n">
        <f aca="false">'Room Pricing'!D9</f>
        <v>104</v>
      </c>
      <c r="H15" s="21" t="n">
        <f aca="false">'Room Pricing'!E9</f>
        <v>208</v>
      </c>
    </row>
    <row r="16" customFormat="false" ht="15" hidden="false" customHeight="false" outlineLevel="0" collapsed="false">
      <c r="A16" s="2" t="s">
        <v>217</v>
      </c>
    </row>
    <row r="18" customFormat="false" ht="15" hidden="false" customHeight="false" outlineLevel="0" collapsed="false">
      <c r="A18" s="20" t="s">
        <v>218</v>
      </c>
    </row>
    <row r="19" customFormat="false" ht="26.85" hidden="false" customHeight="false" outlineLevel="0" collapsed="false">
      <c r="A19" s="25" t="s">
        <v>193</v>
      </c>
      <c r="B19" s="25" t="s">
        <v>162</v>
      </c>
      <c r="C19" s="25" t="s">
        <v>163</v>
      </c>
      <c r="D19" s="25" t="s">
        <v>164</v>
      </c>
      <c r="E19" s="25" t="s">
        <v>165</v>
      </c>
      <c r="F19" s="25" t="s">
        <v>166</v>
      </c>
      <c r="G19" s="25" t="s">
        <v>167</v>
      </c>
      <c r="H19" s="25" t="s">
        <v>168</v>
      </c>
      <c r="I19" s="25" t="s">
        <v>169</v>
      </c>
    </row>
    <row r="20" customFormat="false" ht="15" hidden="false" customHeight="false" outlineLevel="0" collapsed="false">
      <c r="A20" s="3" t="s">
        <v>197</v>
      </c>
      <c r="B20" s="3" t="s">
        <v>170</v>
      </c>
      <c r="C20" s="3" t="n">
        <v>1</v>
      </c>
      <c r="D20" s="21" t="n">
        <f aca="false">(F5*4/3+F8+F11+F14+F15)/1</f>
        <v>1221.29831215627</v>
      </c>
      <c r="E20" s="21" t="n">
        <f aca="false">'Room Pricing'!D15</f>
        <v>1316.15462418611</v>
      </c>
      <c r="F20" s="21" t="n">
        <f aca="false">'Room Pricing'!E15</f>
        <v>185.160871947236</v>
      </c>
      <c r="G20" s="21" t="n">
        <f aca="false">D20+E20+F20</f>
        <v>2722.61380828961</v>
      </c>
      <c r="H20" s="7" t="n">
        <f aca="false">ROUNDDOWN(G20+'Tour Cost'!$B$8,-1)</f>
        <v>3220</v>
      </c>
      <c r="I20" s="21" t="n">
        <f aca="false">H20-G20</f>
        <v>497.38619171039</v>
      </c>
    </row>
    <row r="21" customFormat="false" ht="15" hidden="false" customHeight="false" outlineLevel="0" collapsed="false">
      <c r="A21" s="3" t="s">
        <v>197</v>
      </c>
      <c r="B21" s="3" t="s">
        <v>171</v>
      </c>
      <c r="C21" s="3" t="n">
        <v>2</v>
      </c>
      <c r="D21" s="21" t="n">
        <f aca="false">(G5*4/3+G8+G11+G14+G15)/2</f>
        <v>755.81699222454</v>
      </c>
      <c r="E21" s="21" t="n">
        <f aca="false">'Room Pricing'!D15</f>
        <v>1316.15462418611</v>
      </c>
      <c r="F21" s="21" t="n">
        <f aca="false">'Room Pricing'!E15</f>
        <v>185.160871947236</v>
      </c>
      <c r="G21" s="21" t="n">
        <f aca="false">D21+E21+F21</f>
        <v>2257.13248835788</v>
      </c>
      <c r="H21" s="7" t="n">
        <f aca="false">ROUNDDOWN(G21+'Tour Cost'!$B$8,-1)</f>
        <v>2750</v>
      </c>
      <c r="I21" s="21" t="n">
        <f aca="false">H21-G21</f>
        <v>492.867511642118</v>
      </c>
    </row>
    <row r="22" customFormat="false" ht="15" hidden="false" customHeight="false" outlineLevel="0" collapsed="false">
      <c r="A22" s="3" t="s">
        <v>197</v>
      </c>
      <c r="B22" s="3" t="s">
        <v>172</v>
      </c>
      <c r="C22" s="3" t="n">
        <v>4</v>
      </c>
      <c r="D22" s="21" t="n">
        <f aca="false">(H5*4/3+H8+H11+H14+H15)/4</f>
        <v>733.06699222454</v>
      </c>
      <c r="E22" s="21" t="n">
        <f aca="false">'Room Pricing'!D15</f>
        <v>1316.15462418611</v>
      </c>
      <c r="F22" s="21" t="n">
        <f aca="false">'Room Pricing'!E15</f>
        <v>185.160871947236</v>
      </c>
      <c r="G22" s="21" t="n">
        <f aca="false">D22+E22+F22</f>
        <v>2234.38248835788</v>
      </c>
      <c r="H22" s="7" t="n">
        <f aca="false">ROUNDDOWN(G22+'Tour Cost'!$B$8,-1)</f>
        <v>2730</v>
      </c>
      <c r="I22" s="21" t="n">
        <f aca="false">H22-G22</f>
        <v>495.617511642118</v>
      </c>
    </row>
    <row r="23" customFormat="false" ht="15" hidden="false" customHeight="false" outlineLevel="0" collapsed="false">
      <c r="A23" s="3" t="s">
        <v>200</v>
      </c>
      <c r="B23" s="3" t="s">
        <v>170</v>
      </c>
      <c r="C23" s="3" t="n">
        <v>1</v>
      </c>
      <c r="D23" s="21" t="n">
        <f aca="false">(F6*4/3+F9+F12+F14+F15)/1</f>
        <v>1861.29831215627</v>
      </c>
      <c r="E23" s="21" t="n">
        <f aca="false">'Room Pricing'!D15</f>
        <v>1316.15462418611</v>
      </c>
      <c r="F23" s="21" t="n">
        <f aca="false">'Room Pricing'!E15</f>
        <v>185.160871947236</v>
      </c>
      <c r="G23" s="21" t="n">
        <f aca="false">D23+E23+F23</f>
        <v>3362.61380828961</v>
      </c>
      <c r="H23" s="7" t="n">
        <f aca="false">ROUNDDOWN(G23+'Tour Cost'!$B$8,-1)</f>
        <v>3860</v>
      </c>
      <c r="I23" s="21" t="n">
        <f aca="false">H23-G23</f>
        <v>497.38619171039</v>
      </c>
    </row>
    <row r="24" customFormat="false" ht="15" hidden="false" customHeight="false" outlineLevel="0" collapsed="false">
      <c r="A24" s="3" t="s">
        <v>200</v>
      </c>
      <c r="B24" s="3" t="s">
        <v>171</v>
      </c>
      <c r="C24" s="3" t="n">
        <v>2</v>
      </c>
      <c r="D24" s="21" t="n">
        <f aca="false">(G6*4/3+G9+G12+G14+G15)/2</f>
        <v>969.150325557873</v>
      </c>
      <c r="E24" s="21" t="n">
        <f aca="false">'Room Pricing'!D15</f>
        <v>1316.15462418611</v>
      </c>
      <c r="F24" s="21" t="n">
        <f aca="false">'Room Pricing'!E15</f>
        <v>185.160871947236</v>
      </c>
      <c r="G24" s="21" t="n">
        <f aca="false">D24+E24+F24</f>
        <v>2470.46582169122</v>
      </c>
      <c r="H24" s="7" t="n">
        <f aca="false">ROUNDDOWN(G24+'Tour Cost'!$B$8,-1)</f>
        <v>2970</v>
      </c>
      <c r="I24" s="21" t="n">
        <f aca="false">H24-G24</f>
        <v>499.534178308785</v>
      </c>
    </row>
    <row r="25" customFormat="false" ht="15" hidden="false" customHeight="false" outlineLevel="0" collapsed="false">
      <c r="A25" s="3" t="s">
        <v>200</v>
      </c>
      <c r="B25" s="3" t="s">
        <v>172</v>
      </c>
      <c r="C25" s="3" t="n">
        <v>4</v>
      </c>
      <c r="D25" s="21" t="n">
        <f aca="false">(H6*4/3+H9+H12+H14+H15)/4</f>
        <v>963.400325557873</v>
      </c>
      <c r="E25" s="21" t="n">
        <f aca="false">'Room Pricing'!D15</f>
        <v>1316.15462418611</v>
      </c>
      <c r="F25" s="21" t="n">
        <f aca="false">'Room Pricing'!E15</f>
        <v>185.160871947236</v>
      </c>
      <c r="G25" s="21" t="n">
        <f aca="false">D25+E25+F25</f>
        <v>2464.71582169122</v>
      </c>
      <c r="H25" s="7" t="n">
        <f aca="false">ROUNDDOWN(G25+'Tour Cost'!$B$8,-1)</f>
        <v>2960</v>
      </c>
      <c r="I25" s="21" t="n">
        <f aca="false">H25-G25</f>
        <v>495.284178308785</v>
      </c>
    </row>
    <row r="26" customFormat="false" ht="15" hidden="false" customHeight="false" outlineLevel="0" collapsed="false">
      <c r="A26" s="3" t="s">
        <v>202</v>
      </c>
      <c r="B26" s="3" t="s">
        <v>170</v>
      </c>
      <c r="C26" s="3" t="n">
        <v>1</v>
      </c>
      <c r="D26" s="21" t="n">
        <f aca="false">(F7*4/3+F10+F13+F14+F15)/1</f>
        <v>3341.29831215627</v>
      </c>
      <c r="E26" s="21" t="n">
        <f aca="false">'Room Pricing'!D15</f>
        <v>1316.15462418611</v>
      </c>
      <c r="F26" s="21" t="n">
        <f aca="false">'Room Pricing'!E15</f>
        <v>185.160871947236</v>
      </c>
      <c r="G26" s="21" t="n">
        <f aca="false">D26+E26+F26</f>
        <v>4842.61380828961</v>
      </c>
      <c r="H26" s="7" t="n">
        <f aca="false">ROUNDDOWN(G26+'Tour Cost'!$B$8,-1)</f>
        <v>5340</v>
      </c>
      <c r="I26" s="21" t="n">
        <f aca="false">H26-G26</f>
        <v>497.38619171039</v>
      </c>
    </row>
    <row r="27" customFormat="false" ht="15" hidden="false" customHeight="false" outlineLevel="0" collapsed="false">
      <c r="A27" s="3" t="s">
        <v>202</v>
      </c>
      <c r="B27" s="3" t="s">
        <v>171</v>
      </c>
      <c r="C27" s="3" t="n">
        <v>2</v>
      </c>
      <c r="D27" s="21" t="n">
        <f aca="false">(G7*4/3+G10+G13+G14+G15)/2</f>
        <v>2194.81699222454</v>
      </c>
      <c r="E27" s="21" t="n">
        <f aca="false">'Room Pricing'!D15</f>
        <v>1316.15462418611</v>
      </c>
      <c r="F27" s="21" t="n">
        <f aca="false">'Room Pricing'!E15</f>
        <v>185.160871947236</v>
      </c>
      <c r="G27" s="21" t="n">
        <f aca="false">D27+E27+F27</f>
        <v>3696.13248835788</v>
      </c>
      <c r="H27" s="7" t="n">
        <f aca="false">ROUNDDOWN(G27+'Tour Cost'!$B$8,-1)</f>
        <v>4190</v>
      </c>
      <c r="I27" s="21" t="n">
        <f aca="false">H27-G27</f>
        <v>493.867511642118</v>
      </c>
    </row>
    <row r="28" customFormat="false" ht="15" hidden="false" customHeight="false" outlineLevel="0" collapsed="false">
      <c r="A28" s="3" t="s">
        <v>202</v>
      </c>
      <c r="B28" s="3" t="s">
        <v>172</v>
      </c>
      <c r="C28" s="3" t="n">
        <v>4</v>
      </c>
      <c r="D28" s="21" t="n">
        <f aca="false">(H7*4/3+H10+H13+H14+H15)/4</f>
        <v>2165.06699222454</v>
      </c>
      <c r="E28" s="21" t="n">
        <f aca="false">'Room Pricing'!D15</f>
        <v>1316.15462418611</v>
      </c>
      <c r="F28" s="21" t="n">
        <f aca="false">'Room Pricing'!E15</f>
        <v>185.160871947236</v>
      </c>
      <c r="G28" s="21" t="n">
        <f aca="false">D28+E28+F28</f>
        <v>3666.38248835788</v>
      </c>
      <c r="H28" s="7" t="n">
        <f aca="false">ROUNDDOWN(G28+'Tour Cost'!$B$8,-1)</f>
        <v>4160</v>
      </c>
      <c r="I28" s="21" t="n">
        <f aca="false">H28-G28</f>
        <v>493.617511642118</v>
      </c>
    </row>
    <row r="30" customFormat="false" ht="15" hidden="false" customHeight="false" outlineLevel="0" collapsed="false">
      <c r="A30" s="2" t="s">
        <v>219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2026-10-13T23:39:25Z</dcterms:created>
  <dc:creator>openpyxl</dc:creator>
  <dc:description/>
  <dc:language>en-US</dc:language>
  <cp:lastModifiedBy/>
  <dcterms:modified xsi:type="dcterms:W3CDTF">2026-10-13T23:39:25Z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